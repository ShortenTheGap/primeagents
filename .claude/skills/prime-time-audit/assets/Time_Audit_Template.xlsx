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ep 1 - XDS" sheetId="1" r:id="rId5"/>
    <sheet state="visible" name="Step 2 - Actions (Example)" sheetId="2" r:id="rId6"/>
  </sheets>
  <definedNames>
    <definedName name="tier">'Step 1 - XDS'!$C$4:$C$53</definedName>
    <definedName name="time_hrs">'Step 1 - XDS'!$B$4:$B$53</definedName>
    <definedName name="xds">'Step 1 - XDS'!$E$4:$E$53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What tier of work would you consider this task?
Tier 1 - Admin: This is simple and administrative work that an assistant could do, such as email management, research, etc.
Tier 2 - Technical: This is often the work to keep your business running day to day, including creating and delivering your product or service.
Tier 3 - Manager: This is the work of managing the department and team.
Tier 4 - Exec: This is the work of leading the business, including things like vision, strategy, partnerships.</t>
      </text>
    </comment>
    <comment authorId="0" ref="D3">
      <text>
        <t xml:space="preserve">What impact does this task have on your energy?
Give Me Energy: You enjoy doing this task and it gives you energy.
Neutral: This task neither gives you energy or takes your energy.
Takes My Energy: You don't enjoy doing this task and it takes your energy.  You may often avoid or procrastinate on these tasks.
</t>
      </text>
    </comment>
    <comment authorId="0" ref="E3">
      <text>
        <t xml:space="preserve">What action do you need to get this task off your plate?
C: Cut - This task is not necessary and you can simply stop doing it.
D: Delegate - This task should not be on your plate and you should delegate it to a team member.  This person may or may not be on your team yet.
S: Systemize - You need to create or improve the system for this task.
S+D: Systemize &amp; Delegate - You need to create a system first before you can delegate it it to a team member.
--: You don't need to do anything with this task.  It is working fine as is.</t>
      </text>
    </comment>
    <comment authorId="0" ref="F3">
      <text>
        <t xml:space="preserve">Who will you delegate this to?  It may be an existing team member, or a role that you need to hire.</t>
      </text>
    </comment>
    <comment authorId="0" ref="G3">
      <text>
        <t xml:space="preserve">What system will you create or improve to reduce the amount of time this task takes?</t>
      </text>
    </comment>
    <comment authorId="0" ref="A3">
      <text>
        <t xml:space="preserve">List out all of the specific tasks that you are currently spending your time on.</t>
      </text>
    </comment>
    <comment authorId="0" ref="B3">
      <text>
        <t xml:space="preserve">How many hours per week do you spend on this task?</t>
      </text>
    </comment>
  </commentList>
</comments>
</file>

<file path=xl/sharedStrings.xml><?xml version="1.0" encoding="utf-8"?>
<sst xmlns="http://schemas.openxmlformats.org/spreadsheetml/2006/main" count="96" uniqueCount="57">
  <si>
    <t>CEO TIME AUDIT ACTION PLAN</t>
  </si>
  <si>
    <t xml:space="preserve"> </t>
  </si>
  <si>
    <t>CEO TIME AUDIT</t>
  </si>
  <si>
    <t xml:space="preserve">After completing your Time Audit on the previous tab, now take some time to define what your ideal role is, the next systems to create and the next roles to hire in order to free up your time.  </t>
  </si>
  <si>
    <t>👉🚨 WATCH THIS VIDEO FIRST🚨</t>
  </si>
  <si>
    <t>What Are The Most Valuable Activities That You Should Be Spending Your Time On?</t>
  </si>
  <si>
    <t>Activity</t>
  </si>
  <si>
    <t>Ideal % of Your Time</t>
  </si>
  <si>
    <t>1.</t>
  </si>
  <si>
    <t>Specific Task</t>
  </si>
  <si>
    <t>Hours/Week</t>
  </si>
  <si>
    <t>Tier</t>
  </si>
  <si>
    <t>Energy</t>
  </si>
  <si>
    <t>2.</t>
  </si>
  <si>
    <t>CDS</t>
  </si>
  <si>
    <t>New Owner</t>
  </si>
  <si>
    <t>System to Create</t>
  </si>
  <si>
    <t>3.</t>
  </si>
  <si>
    <t>4.</t>
  </si>
  <si>
    <t>5.</t>
  </si>
  <si>
    <t>Total:</t>
  </si>
  <si>
    <t>First 3 Systems to Create to Offload</t>
  </si>
  <si>
    <t>System</t>
  </si>
  <si>
    <t>Create or Update</t>
  </si>
  <si>
    <t>Update</t>
  </si>
  <si>
    <t>Create</t>
  </si>
  <si>
    <t>The Next 3 Positions to Hire For</t>
  </si>
  <si>
    <t>Position</t>
  </si>
  <si>
    <t>Top Tasks to Delegate</t>
  </si>
  <si>
    <t>Total # Hours/Week</t>
  </si>
  <si>
    <t>Summarized Analysis</t>
  </si>
  <si>
    <t>Total # Hours By Tier</t>
  </si>
  <si>
    <t>Total # Hours By Energy</t>
  </si>
  <si>
    <t>1-Admin</t>
  </si>
  <si>
    <t>Gives Me Energy</t>
  </si>
  <si>
    <t>2-Technician</t>
  </si>
  <si>
    <t>Neutral</t>
  </si>
  <si>
    <t>3-Manager</t>
  </si>
  <si>
    <t>Takes My Energy</t>
  </si>
  <si>
    <t>4-Exec</t>
  </si>
  <si>
    <t>Low Hanging Fruit Hours To Be Saves</t>
  </si>
  <si>
    <t>How to Ge Things Off Your Plate</t>
  </si>
  <si>
    <t>Current Total # Hours/Week</t>
  </si>
  <si>
    <t>Cut</t>
  </si>
  <si>
    <t>X</t>
  </si>
  <si>
    <t>Immediate Items to Cut</t>
  </si>
  <si>
    <t>Delegate</t>
  </si>
  <si>
    <t>D</t>
  </si>
  <si>
    <t>Admin Hours to Delegate</t>
  </si>
  <si>
    <t>Systemize</t>
  </si>
  <si>
    <t>S</t>
  </si>
  <si>
    <t>New Hours</t>
  </si>
  <si>
    <t>Sytemize &amp; Delegate</t>
  </si>
  <si>
    <t>S+D</t>
  </si>
  <si>
    <t>Total Hours Saved</t>
  </si>
  <si>
    <t>Top Tasks to Get Off Your Plate</t>
  </si>
  <si>
    <t>Tasks You Should Keep/Continue Doing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</si>
</sst>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1">
    <font>
      <sz val="10.0"/>
      <color rgb="FF000000"/>
      <name val="Calibri"/>
      <scheme val="minor"/>
    </font>
    <font>
      <sz val="36.0"/>
      <color rgb="FFFFFFFF"/>
      <name val="Syncopate"/>
    </font>
    <font>
      <sz val="30.0"/>
      <color rgb="FFFFFFFF"/>
      <name val="Syncopate"/>
    </font>
    <font>
      <b/>
      <sz val="36.0"/>
      <color rgb="FFFFFFFF"/>
      <name val="Helvetica Neue"/>
    </font>
    <font/>
    <font>
      <sz val="10.0"/>
      <color theme="1"/>
      <name val="Arial"/>
    </font>
    <font>
      <b/>
      <sz val="10.0"/>
      <color theme="1"/>
      <name val="Arial"/>
    </font>
    <font>
      <b/>
      <u/>
      <sz val="14.0"/>
      <color rgb="FF1155CC"/>
      <name val="Arial"/>
    </font>
    <font>
      <b/>
      <sz val="10.0"/>
      <color rgb="FF20124D"/>
      <name val="Arial"/>
    </font>
    <font>
      <sz val="11.0"/>
      <color rgb="FF000000"/>
      <name val="Inconsolata"/>
    </font>
    <font>
      <b/>
      <sz val="11.0"/>
      <color rgb="FF000000"/>
      <name val="Inconsolata"/>
    </font>
  </fonts>
  <fills count="8">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FFE599"/>
        <bgColor rgb="FFFFE599"/>
      </patternFill>
    </fill>
  </fills>
  <borders count="15">
    <border/>
    <border>
      <left/>
      <right/>
      <top/>
      <bottom/>
    </border>
    <border>
      <left/>
      <top/>
      <bottom/>
    </border>
    <border>
      <top/>
      <bottom/>
    </border>
    <border>
      <right/>
      <top/>
      <bottom/>
    </border>
    <border>
      <left/>
      <top/>
    </border>
    <border>
      <top/>
    </border>
    <border>
      <right/>
      <top/>
    </border>
    <border>
      <left/>
      <bottom/>
    </border>
    <border>
      <bottom/>
    </border>
    <border>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xf>
    <xf borderId="2" fillId="3" fontId="2" numFmtId="164" xfId="0" applyAlignment="1" applyBorder="1" applyFill="1" applyFont="1" applyNumberFormat="1">
      <alignment horizontal="center" readingOrder="0"/>
    </xf>
    <xf borderId="2" fillId="2" fontId="3" numFmtId="164" xfId="0" applyAlignment="1" applyBorder="1" applyFont="1" applyNumberFormat="1">
      <alignment horizontal="center" readingOrder="0"/>
    </xf>
    <xf borderId="3" fillId="0" fontId="4" numFmtId="0" xfId="0" applyBorder="1" applyFont="1"/>
    <xf borderId="4" fillId="0" fontId="4" numFmtId="0" xfId="0" applyBorder="1" applyFont="1"/>
    <xf borderId="5" fillId="4" fontId="5" numFmtId="0" xfId="0" applyAlignment="1" applyBorder="1" applyFill="1" applyFont="1">
      <alignment readingOrder="0" shrinkToFit="0"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5" fontId="6" numFmtId="0" xfId="0" applyAlignment="1" applyBorder="1" applyFill="1" applyFont="1">
      <alignment horizontal="center"/>
    </xf>
    <xf borderId="12" fillId="0" fontId="4" numFmtId="0" xfId="0" applyBorder="1" applyFont="1"/>
    <xf borderId="13" fillId="0" fontId="4" numFmtId="0" xfId="0" applyBorder="1" applyFont="1"/>
    <xf borderId="0" fillId="6" fontId="7" numFmtId="0" xfId="0" applyAlignment="1" applyFill="1" applyFont="1">
      <alignment horizontal="left" readingOrder="0" shrinkToFit="0" wrapText="1"/>
    </xf>
    <xf quotePrefix="1" borderId="1" fillId="4" fontId="5" numFmtId="0" xfId="0" applyAlignment="1" applyBorder="1" applyFont="1">
      <alignment horizontal="right" shrinkToFit="0" wrapText="1"/>
    </xf>
    <xf borderId="14" fillId="6" fontId="6" numFmtId="0" xfId="0" applyAlignment="1" applyBorder="1" applyFont="1">
      <alignment horizontal="center" shrinkToFit="0" wrapText="1"/>
    </xf>
    <xf borderId="2" fillId="4" fontId="5" numFmtId="0" xfId="0" applyAlignment="1" applyBorder="1" applyFont="1">
      <alignment readingOrder="0"/>
    </xf>
    <xf borderId="14" fillId="6" fontId="6" numFmtId="0" xfId="0" applyAlignment="1" applyBorder="1" applyFont="1">
      <alignment horizontal="center"/>
    </xf>
    <xf borderId="14" fillId="6" fontId="6" numFmtId="0" xfId="0" applyAlignment="1" applyBorder="1" applyFont="1">
      <alignment horizontal="center" vertical="center"/>
    </xf>
    <xf borderId="2" fillId="4" fontId="5" numFmtId="9" xfId="0" applyBorder="1" applyFont="1" applyNumberFormat="1"/>
    <xf borderId="14" fillId="6" fontId="6" numFmtId="0" xfId="0" applyAlignment="1" applyBorder="1" applyFont="1">
      <alignment horizontal="center" readingOrder="0" vertical="center"/>
    </xf>
    <xf borderId="14" fillId="4" fontId="5" numFmtId="0" xfId="0" applyAlignment="1" applyBorder="1" applyFont="1">
      <alignment shrinkToFit="0" wrapText="1"/>
    </xf>
    <xf borderId="14" fillId="4" fontId="5" numFmtId="3" xfId="0" applyAlignment="1" applyBorder="1" applyFont="1" applyNumberFormat="1">
      <alignment horizontal="center"/>
    </xf>
    <xf borderId="14" fillId="4" fontId="5" numFmtId="0" xfId="0" applyAlignment="1" applyBorder="1" applyFont="1">
      <alignment horizontal="center" vertical="center"/>
    </xf>
    <xf borderId="1" fillId="4" fontId="5" numFmtId="0" xfId="0" applyBorder="1" applyFont="1"/>
    <xf borderId="2" fillId="4" fontId="6" numFmtId="0" xfId="0" applyAlignment="1" applyBorder="1" applyFont="1">
      <alignment horizontal="right"/>
    </xf>
    <xf borderId="14" fillId="4" fontId="5" numFmtId="0" xfId="0" applyAlignment="1" applyBorder="1" applyFont="1">
      <alignment readingOrder="0"/>
    </xf>
    <xf borderId="14" fillId="4" fontId="5" numFmtId="0" xfId="0" applyBorder="1" applyFont="1"/>
    <xf borderId="14" fillId="6" fontId="5" numFmtId="0" xfId="0" applyAlignment="1" applyBorder="1" applyFont="1">
      <alignment readingOrder="0" shrinkToFit="0" wrapText="1"/>
    </xf>
    <xf borderId="14" fillId="6" fontId="5" numFmtId="3" xfId="0" applyAlignment="1" applyBorder="1" applyFont="1" applyNumberFormat="1">
      <alignment horizontal="center"/>
    </xf>
    <xf borderId="14" fillId="6" fontId="5" numFmtId="0" xfId="0" applyAlignment="1" applyBorder="1" applyFont="1">
      <alignment horizontal="center" vertical="center"/>
    </xf>
    <xf borderId="14" fillId="6" fontId="5" numFmtId="0" xfId="0" applyAlignment="1" applyBorder="1" applyFont="1">
      <alignment readingOrder="0"/>
    </xf>
    <xf borderId="14" fillId="6" fontId="5" numFmtId="0" xfId="0" applyBorder="1" applyFont="1"/>
    <xf borderId="14" fillId="4" fontId="5" numFmtId="0" xfId="0" applyAlignment="1" applyBorder="1" applyFont="1">
      <alignment readingOrder="0" shrinkToFit="0" wrapText="1"/>
    </xf>
    <xf borderId="11" fillId="4" fontId="5" numFmtId="9" xfId="0" applyBorder="1" applyFont="1" applyNumberFormat="1"/>
    <xf borderId="14" fillId="6" fontId="5" numFmtId="0" xfId="0" applyAlignment="1" applyBorder="1" applyFont="1">
      <alignment shrinkToFit="0" wrapText="1"/>
    </xf>
    <xf borderId="14" fillId="6" fontId="5" numFmtId="3" xfId="0" applyAlignment="1" applyBorder="1" applyFont="1" applyNumberFormat="1">
      <alignment horizontal="center" readingOrder="0"/>
    </xf>
    <xf quotePrefix="1" borderId="0" fillId="0" fontId="5" numFmtId="0" xfId="0" applyAlignment="1" applyFont="1">
      <alignment horizontal="right" shrinkToFit="0" wrapText="1"/>
    </xf>
    <xf borderId="0" fillId="0" fontId="5" numFmtId="0" xfId="0" applyAlignment="1" applyFont="1">
      <alignment readingOrder="0"/>
    </xf>
    <xf borderId="14" fillId="4" fontId="5" numFmtId="3" xfId="0" applyAlignment="1" applyBorder="1" applyFont="1" applyNumberFormat="1">
      <alignment horizontal="center" readingOrder="0"/>
    </xf>
    <xf borderId="0" fillId="0" fontId="5" numFmtId="0" xfId="0" applyFont="1"/>
    <xf borderId="0" fillId="0" fontId="5" numFmtId="0" xfId="0" applyAlignment="1" applyFont="1">
      <alignment shrinkToFit="0" wrapText="1"/>
    </xf>
    <xf borderId="14" fillId="4" fontId="6" numFmtId="0" xfId="0" applyAlignment="1" applyBorder="1" applyFont="1">
      <alignment horizontal="right" shrinkToFit="0" wrapText="1"/>
    </xf>
    <xf borderId="1" fillId="4" fontId="5" numFmtId="0" xfId="0" applyAlignment="1" applyBorder="1" applyFont="1">
      <alignment horizontal="center" vertical="center"/>
    </xf>
    <xf borderId="0" fillId="0" fontId="5" numFmtId="0" xfId="0" applyAlignment="1" applyFont="1">
      <alignment horizontal="center"/>
    </xf>
    <xf borderId="0" fillId="0" fontId="5" numFmtId="0" xfId="0" applyAlignment="1" applyFont="1">
      <alignment horizontal="center" vertical="center"/>
    </xf>
    <xf borderId="0" fillId="0" fontId="5" numFmtId="0" xfId="0" applyAlignment="1" applyFont="1">
      <alignment vertical="center"/>
    </xf>
    <xf borderId="11" fillId="5" fontId="6" numFmtId="0" xfId="0" applyAlignment="1" applyBorder="1" applyFont="1">
      <alignment horizontal="center" shrinkToFit="0" wrapText="1"/>
    </xf>
    <xf borderId="0" fillId="0" fontId="5" numFmtId="3" xfId="0" applyAlignment="1" applyFont="1" applyNumberFormat="1">
      <alignment horizontal="center"/>
    </xf>
    <xf borderId="11" fillId="5" fontId="6" numFmtId="0" xfId="0" applyAlignment="1" applyBorder="1" applyFont="1">
      <alignment horizontal="center" vertical="center"/>
    </xf>
    <xf borderId="14" fillId="0" fontId="8" numFmtId="0" xfId="0" applyAlignment="1" applyBorder="1" applyFont="1">
      <alignment horizontal="center"/>
    </xf>
    <xf borderId="14" fillId="0" fontId="5" numFmtId="3" xfId="0" applyAlignment="1" applyBorder="1" applyFont="1" applyNumberFormat="1">
      <alignment horizontal="center"/>
    </xf>
    <xf borderId="11" fillId="0" fontId="6" numFmtId="0" xfId="0" applyAlignment="1" applyBorder="1" applyFont="1">
      <alignment horizontal="center" vertical="center"/>
    </xf>
    <xf borderId="14" fillId="4" fontId="9" numFmtId="1" xfId="0" applyBorder="1" applyFont="1" applyNumberFormat="1"/>
    <xf borderId="14" fillId="0" fontId="6" numFmtId="0" xfId="0" applyAlignment="1" applyBorder="1" applyFont="1">
      <alignment horizontal="center" shrinkToFit="0" wrapText="1"/>
    </xf>
    <xf borderId="14" fillId="0" fontId="6" numFmtId="0" xfId="0" applyAlignment="1" applyBorder="1" applyFont="1">
      <alignment horizontal="center" vertical="center"/>
    </xf>
    <xf borderId="14" fillId="0" fontId="5" numFmtId="0" xfId="0" applyBorder="1" applyFont="1"/>
    <xf borderId="14" fillId="0" fontId="6" numFmtId="0" xfId="0" applyAlignment="1" applyBorder="1" applyFont="1">
      <alignment horizontal="center"/>
    </xf>
    <xf borderId="14" fillId="0" fontId="5" numFmtId="0" xfId="0" applyAlignment="1" applyBorder="1" applyFont="1">
      <alignment horizontal="center"/>
    </xf>
    <xf borderId="14" fillId="0" fontId="6" numFmtId="3" xfId="0" applyAlignment="1" applyBorder="1" applyFont="1" applyNumberFormat="1">
      <alignment horizontal="center"/>
    </xf>
    <xf borderId="14" fillId="7" fontId="5" numFmtId="3" xfId="0" applyAlignment="1" applyBorder="1" applyFill="1" applyFont="1" applyNumberFormat="1">
      <alignment horizontal="center"/>
    </xf>
    <xf borderId="14" fillId="5" fontId="10" numFmtId="0" xfId="0" applyBorder="1" applyFont="1"/>
    <xf borderId="14" fillId="5" fontId="6" numFmtId="0" xfId="0" applyAlignment="1" applyBorder="1" applyFont="1">
      <alignment horizontal="center"/>
    </xf>
    <xf borderId="14" fillId="5" fontId="6" numFmtId="0" xfId="0" applyAlignment="1" applyBorder="1" applyFont="1">
      <alignment horizontal="center" vertical="center"/>
    </xf>
    <xf borderId="14" fillId="5" fontId="6" numFmtId="0" xfId="0" applyAlignment="1" applyBorder="1" applyFont="1">
      <alignment vertical="center"/>
    </xf>
    <xf borderId="14" fillId="5"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loom.com/share/dbb0a03fefd54491b7ea61a5cb8136d8"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9.43"/>
    <col customWidth="1" min="2" max="2" width="14.43"/>
    <col customWidth="1" min="3" max="3" width="16.29"/>
    <col customWidth="1" min="4" max="4" width="24.86"/>
    <col customWidth="1" min="5" max="5" width="14.43"/>
    <col customWidth="1" min="6" max="6" width="18.71"/>
    <col customWidth="1" min="7" max="7" width="34.43"/>
  </cols>
  <sheetData>
    <row r="1" ht="63.75" customHeight="1">
      <c r="A1" s="1" t="s">
        <v>1</v>
      </c>
      <c r="B1" s="3" t="s">
        <v>2</v>
      </c>
      <c r="C1" s="4"/>
      <c r="D1" s="4"/>
      <c r="E1" s="4"/>
      <c r="F1" s="4"/>
      <c r="G1" s="5"/>
    </row>
    <row r="2" ht="15.75" customHeight="1">
      <c r="A2" s="15" t="s">
        <v>4</v>
      </c>
    </row>
    <row r="3" ht="15.75" customHeight="1">
      <c r="A3" s="17" t="s">
        <v>9</v>
      </c>
      <c r="B3" s="19" t="s">
        <v>10</v>
      </c>
      <c r="C3" s="20" t="s">
        <v>11</v>
      </c>
      <c r="D3" s="20" t="s">
        <v>12</v>
      </c>
      <c r="E3" s="22" t="s">
        <v>14</v>
      </c>
      <c r="F3" s="19" t="s">
        <v>15</v>
      </c>
      <c r="G3" s="19" t="s">
        <v>16</v>
      </c>
    </row>
    <row r="4" ht="15.75" customHeight="1">
      <c r="A4" s="23"/>
      <c r="B4" s="24"/>
      <c r="C4" s="25"/>
      <c r="D4" s="25"/>
      <c r="E4" s="25"/>
      <c r="F4" s="28" t="s">
        <v>1</v>
      </c>
      <c r="G4" s="29"/>
    </row>
    <row r="5" ht="15.75" customHeight="1">
      <c r="A5" s="30" t="s">
        <v>1</v>
      </c>
      <c r="B5" s="31"/>
      <c r="C5" s="32"/>
      <c r="D5" s="32"/>
      <c r="E5" s="32"/>
      <c r="F5" s="33" t="s">
        <v>1</v>
      </c>
      <c r="G5" s="34"/>
    </row>
    <row r="6" ht="15.75" customHeight="1">
      <c r="A6" s="35" t="s">
        <v>1</v>
      </c>
      <c r="B6" s="24"/>
      <c r="C6" s="25"/>
      <c r="D6" s="25"/>
      <c r="E6" s="25"/>
      <c r="F6" s="28" t="s">
        <v>1</v>
      </c>
      <c r="G6" s="29"/>
    </row>
    <row r="7" ht="15.75" customHeight="1">
      <c r="A7" s="37"/>
      <c r="B7" s="31"/>
      <c r="C7" s="32"/>
      <c r="D7" s="32"/>
      <c r="E7" s="32"/>
      <c r="F7" s="33" t="s">
        <v>1</v>
      </c>
      <c r="G7" s="34"/>
    </row>
    <row r="8" ht="15.75" customHeight="1">
      <c r="A8" s="23"/>
      <c r="B8" s="24"/>
      <c r="C8" s="25"/>
      <c r="D8" s="25"/>
      <c r="E8" s="25"/>
      <c r="F8" s="28" t="s">
        <v>1</v>
      </c>
      <c r="G8" s="29"/>
    </row>
    <row r="9" ht="15.75" customHeight="1">
      <c r="A9" s="37"/>
      <c r="B9" s="38"/>
      <c r="C9" s="32"/>
      <c r="D9" s="32"/>
      <c r="E9" s="32"/>
      <c r="F9" s="33" t="s">
        <v>1</v>
      </c>
      <c r="G9" s="34"/>
    </row>
    <row r="10" ht="15.75" customHeight="1">
      <c r="A10" s="23"/>
      <c r="B10" s="24"/>
      <c r="C10" s="25"/>
      <c r="D10" s="25"/>
      <c r="E10" s="25"/>
      <c r="F10" s="28" t="s">
        <v>1</v>
      </c>
      <c r="G10" s="29"/>
    </row>
    <row r="11" ht="15.75" customHeight="1">
      <c r="A11" s="37"/>
      <c r="B11" s="31"/>
      <c r="C11" s="32"/>
      <c r="D11" s="32"/>
      <c r="E11" s="32"/>
      <c r="F11" s="33" t="s">
        <v>1</v>
      </c>
      <c r="G11" s="34"/>
    </row>
    <row r="12" ht="15.75" customHeight="1">
      <c r="A12" s="23"/>
      <c r="B12" s="41"/>
      <c r="C12" s="25"/>
      <c r="D12" s="25"/>
      <c r="E12" s="25"/>
      <c r="F12" s="28" t="s">
        <v>1</v>
      </c>
      <c r="G12" s="29"/>
    </row>
    <row r="13" ht="15.75" customHeight="1">
      <c r="A13" s="37"/>
      <c r="B13" s="31"/>
      <c r="C13" s="32"/>
      <c r="D13" s="32"/>
      <c r="E13" s="32"/>
      <c r="F13" s="33" t="s">
        <v>1</v>
      </c>
      <c r="G13" s="34"/>
    </row>
    <row r="14" ht="15.75" customHeight="1">
      <c r="A14" s="35"/>
      <c r="B14" s="24"/>
      <c r="C14" s="25"/>
      <c r="D14" s="25"/>
      <c r="E14" s="25"/>
      <c r="F14" s="28" t="s">
        <v>1</v>
      </c>
      <c r="G14" s="29"/>
    </row>
    <row r="15" ht="15.75" customHeight="1">
      <c r="A15" s="37"/>
      <c r="B15" s="31"/>
      <c r="C15" s="32"/>
      <c r="D15" s="32"/>
      <c r="E15" s="32"/>
      <c r="F15" s="33" t="s">
        <v>1</v>
      </c>
      <c r="G15" s="34"/>
    </row>
    <row r="16" ht="15.75" customHeight="1">
      <c r="A16" s="23"/>
      <c r="B16" s="24"/>
      <c r="C16" s="25"/>
      <c r="D16" s="25"/>
      <c r="E16" s="25"/>
      <c r="F16" s="28" t="s">
        <v>1</v>
      </c>
      <c r="G16" s="28"/>
    </row>
    <row r="17" ht="15.75" customHeight="1">
      <c r="A17" s="30"/>
      <c r="B17" s="38"/>
      <c r="C17" s="32"/>
      <c r="D17" s="32"/>
      <c r="E17" s="32"/>
      <c r="F17" s="33" t="s">
        <v>1</v>
      </c>
      <c r="G17" s="34"/>
    </row>
    <row r="18" ht="15.75" customHeight="1">
      <c r="A18" s="23"/>
      <c r="B18" s="41"/>
      <c r="C18" s="25"/>
      <c r="D18" s="25"/>
      <c r="E18" s="25"/>
      <c r="F18" s="28" t="s">
        <v>1</v>
      </c>
      <c r="G18" s="29"/>
    </row>
    <row r="19" ht="15.75" customHeight="1">
      <c r="A19" s="30"/>
      <c r="B19" s="38"/>
      <c r="C19" s="32"/>
      <c r="D19" s="32"/>
      <c r="E19" s="32"/>
      <c r="F19" s="33" t="s">
        <v>1</v>
      </c>
      <c r="G19" s="33"/>
    </row>
    <row r="20" ht="15.75" customHeight="1">
      <c r="A20" s="35"/>
      <c r="B20" s="24"/>
      <c r="C20" s="25"/>
      <c r="D20" s="25"/>
      <c r="E20" s="25"/>
      <c r="F20" s="29"/>
      <c r="G20" s="29"/>
    </row>
    <row r="21" ht="15.75" customHeight="1">
      <c r="A21" s="30"/>
      <c r="B21" s="31"/>
      <c r="C21" s="32"/>
      <c r="D21" s="32"/>
      <c r="E21" s="32"/>
      <c r="F21" s="34"/>
      <c r="G21" s="34"/>
    </row>
    <row r="22" ht="15.75" customHeight="1">
      <c r="A22" s="35"/>
      <c r="B22" s="24"/>
      <c r="C22" s="25"/>
      <c r="D22" s="25"/>
      <c r="E22" s="25"/>
      <c r="F22" s="29"/>
      <c r="G22" s="29"/>
    </row>
    <row r="23" ht="15.75" customHeight="1">
      <c r="A23" s="37"/>
      <c r="B23" s="31"/>
      <c r="C23" s="32"/>
      <c r="D23" s="32"/>
      <c r="E23" s="32"/>
      <c r="F23" s="34"/>
      <c r="G23" s="34"/>
    </row>
    <row r="24" ht="15.75" customHeight="1">
      <c r="A24" s="23"/>
      <c r="B24" s="24"/>
      <c r="C24" s="25"/>
      <c r="D24" s="25"/>
      <c r="E24" s="25"/>
      <c r="F24" s="29"/>
      <c r="G24" s="29"/>
    </row>
    <row r="25" ht="15.75" customHeight="1">
      <c r="A25" s="37"/>
      <c r="B25" s="31"/>
      <c r="C25" s="32"/>
      <c r="D25" s="32"/>
      <c r="E25" s="32"/>
      <c r="F25" s="34"/>
      <c r="G25" s="34"/>
    </row>
    <row r="26" ht="15.75" customHeight="1">
      <c r="A26" s="23"/>
      <c r="B26" s="24"/>
      <c r="C26" s="25"/>
      <c r="D26" s="25"/>
      <c r="E26" s="25"/>
      <c r="F26" s="29"/>
      <c r="G26" s="29"/>
    </row>
    <row r="27" ht="15.75" customHeight="1">
      <c r="A27" s="37"/>
      <c r="B27" s="31"/>
      <c r="C27" s="32"/>
      <c r="D27" s="32"/>
      <c r="E27" s="32"/>
      <c r="F27" s="34"/>
      <c r="G27" s="34"/>
    </row>
    <row r="28" ht="15.75" customHeight="1">
      <c r="A28" s="23"/>
      <c r="B28" s="24"/>
      <c r="C28" s="25"/>
      <c r="D28" s="25"/>
      <c r="E28" s="25"/>
      <c r="F28" s="29"/>
      <c r="G28" s="29"/>
    </row>
    <row r="29" ht="15.75" customHeight="1">
      <c r="A29" s="37"/>
      <c r="B29" s="31"/>
      <c r="C29" s="32"/>
      <c r="D29" s="32"/>
      <c r="E29" s="32"/>
      <c r="F29" s="34"/>
      <c r="G29" s="34"/>
    </row>
    <row r="30" ht="15.75" customHeight="1">
      <c r="A30" s="23"/>
      <c r="B30" s="24"/>
      <c r="C30" s="25"/>
      <c r="D30" s="25"/>
      <c r="E30" s="25"/>
      <c r="F30" s="29"/>
      <c r="G30" s="29"/>
    </row>
    <row r="31" ht="15.75" customHeight="1">
      <c r="A31" s="37"/>
      <c r="B31" s="31"/>
      <c r="C31" s="32"/>
      <c r="D31" s="32"/>
      <c r="E31" s="32"/>
      <c r="F31" s="34"/>
      <c r="G31" s="34"/>
    </row>
    <row r="32" ht="15.75" customHeight="1">
      <c r="A32" s="23"/>
      <c r="B32" s="24"/>
      <c r="C32" s="25"/>
      <c r="D32" s="25"/>
      <c r="E32" s="25"/>
      <c r="F32" s="29"/>
      <c r="G32" s="29"/>
    </row>
    <row r="33" ht="15.75" customHeight="1">
      <c r="A33" s="37"/>
      <c r="B33" s="31"/>
      <c r="C33" s="32"/>
      <c r="D33" s="32"/>
      <c r="E33" s="32"/>
      <c r="F33" s="34"/>
      <c r="G33" s="34"/>
    </row>
    <row r="34" ht="15.75" customHeight="1">
      <c r="A34" s="23"/>
      <c r="B34" s="24"/>
      <c r="C34" s="25"/>
      <c r="D34" s="25"/>
      <c r="E34" s="25"/>
      <c r="F34" s="29"/>
      <c r="G34" s="29"/>
    </row>
    <row r="35" ht="15.75" customHeight="1">
      <c r="A35" s="37"/>
      <c r="B35" s="31"/>
      <c r="C35" s="32"/>
      <c r="D35" s="32"/>
      <c r="E35" s="32"/>
      <c r="F35" s="34"/>
      <c r="G35" s="34"/>
    </row>
    <row r="36" ht="15.75" customHeight="1">
      <c r="A36" s="23"/>
      <c r="B36" s="24"/>
      <c r="C36" s="25"/>
      <c r="D36" s="25"/>
      <c r="E36" s="25"/>
      <c r="F36" s="29"/>
      <c r="G36" s="29"/>
    </row>
    <row r="37" ht="15.75" customHeight="1">
      <c r="A37" s="37"/>
      <c r="B37" s="31"/>
      <c r="C37" s="32"/>
      <c r="D37" s="32"/>
      <c r="E37" s="32"/>
      <c r="F37" s="34"/>
      <c r="G37" s="34"/>
    </row>
    <row r="38" ht="15.75" customHeight="1">
      <c r="A38" s="23"/>
      <c r="B38" s="24"/>
      <c r="C38" s="25"/>
      <c r="D38" s="25"/>
      <c r="E38" s="25"/>
      <c r="F38" s="29"/>
      <c r="G38" s="29"/>
    </row>
    <row r="39" ht="15.75" customHeight="1">
      <c r="A39" s="37"/>
      <c r="B39" s="31"/>
      <c r="C39" s="32"/>
      <c r="D39" s="32"/>
      <c r="E39" s="32"/>
      <c r="F39" s="34"/>
      <c r="G39" s="34"/>
    </row>
    <row r="40" ht="15.75" customHeight="1">
      <c r="A40" s="23"/>
      <c r="B40" s="24"/>
      <c r="C40" s="25"/>
      <c r="D40" s="25"/>
      <c r="E40" s="25"/>
      <c r="F40" s="29"/>
      <c r="G40" s="29"/>
    </row>
    <row r="41" ht="15.75" customHeight="1">
      <c r="A41" s="37"/>
      <c r="B41" s="31"/>
      <c r="C41" s="32"/>
      <c r="D41" s="32"/>
      <c r="E41" s="32"/>
      <c r="F41" s="34"/>
      <c r="G41" s="34"/>
    </row>
    <row r="42" ht="15.75" customHeight="1">
      <c r="A42" s="23"/>
      <c r="B42" s="24"/>
      <c r="C42" s="25"/>
      <c r="D42" s="25"/>
      <c r="E42" s="25"/>
      <c r="F42" s="29"/>
      <c r="G42" s="29"/>
    </row>
    <row r="43" ht="15.75" customHeight="1">
      <c r="A43" s="37"/>
      <c r="B43" s="31"/>
      <c r="C43" s="32"/>
      <c r="D43" s="32"/>
      <c r="E43" s="32"/>
      <c r="F43" s="34"/>
      <c r="G43" s="34"/>
    </row>
    <row r="44" ht="15.75" customHeight="1">
      <c r="A44" s="23"/>
      <c r="B44" s="24"/>
      <c r="C44" s="25"/>
      <c r="D44" s="25"/>
      <c r="E44" s="25"/>
      <c r="F44" s="29"/>
      <c r="G44" s="29"/>
    </row>
    <row r="45" ht="15.75" customHeight="1">
      <c r="A45" s="37"/>
      <c r="B45" s="31"/>
      <c r="C45" s="32"/>
      <c r="D45" s="32"/>
      <c r="E45" s="32"/>
      <c r="F45" s="34"/>
      <c r="G45" s="34"/>
    </row>
    <row r="46" ht="15.75" customHeight="1">
      <c r="A46" s="23"/>
      <c r="B46" s="24"/>
      <c r="C46" s="25"/>
      <c r="D46" s="25"/>
      <c r="E46" s="25"/>
      <c r="F46" s="29"/>
      <c r="G46" s="29"/>
    </row>
    <row r="47" ht="15.75" customHeight="1">
      <c r="A47" s="37"/>
      <c r="B47" s="31"/>
      <c r="C47" s="32"/>
      <c r="D47" s="32"/>
      <c r="E47" s="32"/>
      <c r="F47" s="34"/>
      <c r="G47" s="34"/>
    </row>
    <row r="48" ht="15.75" customHeight="1">
      <c r="A48" s="23"/>
      <c r="B48" s="24"/>
      <c r="C48" s="25"/>
      <c r="D48" s="25"/>
      <c r="E48" s="25"/>
      <c r="F48" s="29"/>
      <c r="G48" s="29"/>
    </row>
    <row r="49" ht="15.75" customHeight="1">
      <c r="A49" s="37"/>
      <c r="B49" s="31"/>
      <c r="C49" s="32"/>
      <c r="D49" s="32"/>
      <c r="E49" s="32"/>
      <c r="F49" s="34"/>
      <c r="G49" s="34"/>
    </row>
    <row r="50" ht="15.75" customHeight="1">
      <c r="A50" s="23"/>
      <c r="B50" s="24"/>
      <c r="C50" s="25"/>
      <c r="D50" s="25"/>
      <c r="E50" s="25"/>
      <c r="F50" s="29"/>
      <c r="G50" s="29"/>
    </row>
    <row r="51" ht="15.75" customHeight="1">
      <c r="A51" s="37"/>
      <c r="B51" s="31"/>
      <c r="C51" s="32"/>
      <c r="D51" s="32"/>
      <c r="E51" s="32"/>
      <c r="F51" s="34"/>
      <c r="G51" s="34"/>
    </row>
    <row r="52" ht="15.75" customHeight="1">
      <c r="A52" s="23"/>
      <c r="B52" s="24"/>
      <c r="C52" s="25"/>
      <c r="D52" s="25"/>
      <c r="E52" s="25"/>
      <c r="F52" s="29"/>
      <c r="G52" s="29"/>
    </row>
    <row r="53" ht="15.75" customHeight="1">
      <c r="A53" s="37"/>
      <c r="B53" s="31"/>
      <c r="C53" s="32"/>
      <c r="D53" s="32"/>
      <c r="E53" s="32"/>
      <c r="F53" s="34"/>
      <c r="G53" s="34"/>
    </row>
    <row r="54" ht="15.75" customHeight="1">
      <c r="A54" s="44" t="s">
        <v>29</v>
      </c>
      <c r="B54" s="24">
        <f>SUM(B4:B53)</f>
        <v>0</v>
      </c>
      <c r="C54" s="45"/>
      <c r="D54" s="45"/>
      <c r="E54" s="45"/>
      <c r="F54" s="26"/>
      <c r="G54" s="26"/>
    </row>
    <row r="55" ht="15.75" customHeight="1">
      <c r="A55" s="43"/>
      <c r="B55" s="46"/>
      <c r="C55" s="47"/>
      <c r="D55" s="47"/>
      <c r="E55" s="48"/>
      <c r="F55" s="42"/>
      <c r="G55" s="42"/>
    </row>
    <row r="56" ht="15.75" customHeight="1">
      <c r="A56" s="49" t="s">
        <v>30</v>
      </c>
      <c r="B56" s="13"/>
      <c r="C56" s="13"/>
      <c r="D56" s="13"/>
      <c r="E56" s="13"/>
      <c r="F56" s="13"/>
      <c r="G56" s="14"/>
    </row>
    <row r="57" ht="15.75" customHeight="1">
      <c r="A57" s="43"/>
      <c r="B57" s="50"/>
      <c r="C57" s="47"/>
      <c r="D57" s="47"/>
    </row>
    <row r="58" ht="15.75" customHeight="1">
      <c r="A58" s="49" t="s">
        <v>31</v>
      </c>
      <c r="B58" s="14"/>
      <c r="C58" s="47"/>
      <c r="D58" s="51" t="s">
        <v>32</v>
      </c>
      <c r="E58" s="13"/>
      <c r="F58" s="14"/>
    </row>
    <row r="59" ht="15.75" customHeight="1">
      <c r="A59" s="52" t="s">
        <v>33</v>
      </c>
      <c r="B59" s="53">
        <f>SUMIF('Step 1 - XDS'!$C$4:$C$53,A59,'Step 1 - XDS'!$B$4:$B$53)</f>
        <v>0</v>
      </c>
      <c r="C59" s="47"/>
      <c r="D59" s="54" t="s">
        <v>34</v>
      </c>
      <c r="E59" s="14"/>
      <c r="F59" s="55">
        <f>SUMIF('Step 1 - XDS'!$D$4:$D$53,D59,'Step 1 - XDS'!$B$4:$B$53)</f>
        <v>0</v>
      </c>
    </row>
    <row r="60" ht="15.75" customHeight="1">
      <c r="A60" s="52" t="s">
        <v>35</v>
      </c>
      <c r="B60" s="53">
        <f>SUMIF('Step 1 - XDS'!$C$4:$C$53,A60,'Step 1 - XDS'!$B$4:$B$53)</f>
        <v>0</v>
      </c>
      <c r="C60" s="47"/>
      <c r="D60" s="54" t="s">
        <v>36</v>
      </c>
      <c r="E60" s="14"/>
      <c r="F60" s="55">
        <f>SUMIF('Step 1 - XDS'!$D$4:$D$53,D60,'Step 1 - XDS'!$B$4:$B$53)</f>
        <v>0</v>
      </c>
    </row>
    <row r="61" ht="15.75" customHeight="1">
      <c r="A61" s="52" t="s">
        <v>37</v>
      </c>
      <c r="B61" s="53">
        <f>SUMIF('Step 1 - XDS'!$C$4:$C$53,A61,'Step 1 - XDS'!$B$4:$B$53)</f>
        <v>0</v>
      </c>
      <c r="C61" s="47"/>
      <c r="D61" s="54" t="s">
        <v>38</v>
      </c>
      <c r="E61" s="14"/>
      <c r="F61" s="55">
        <f>SUMIF('Step 1 - XDS'!$D$4:$D$53,D61,'Step 1 - XDS'!$B$4:$B$53)</f>
        <v>0</v>
      </c>
    </row>
    <row r="62" ht="15.75" customHeight="1">
      <c r="A62" s="52" t="s">
        <v>39</v>
      </c>
      <c r="B62" s="53">
        <f>SUMIF('Step 1 - XDS'!$C$4:$C$53,A62,'Step 1 - XDS'!$B$4:$B$53)</f>
        <v>0</v>
      </c>
      <c r="C62" s="47"/>
      <c r="D62" s="47"/>
      <c r="E62" s="48"/>
      <c r="F62" s="42"/>
    </row>
    <row r="63" ht="15.75" customHeight="1">
      <c r="A63" s="43"/>
      <c r="B63" s="50"/>
      <c r="C63" s="47"/>
      <c r="D63" s="47"/>
      <c r="E63" s="48"/>
      <c r="F63" s="42"/>
    </row>
    <row r="64" ht="15.75" customHeight="1">
      <c r="A64" s="49" t="s">
        <v>40</v>
      </c>
      <c r="B64" s="14"/>
      <c r="C64" s="47"/>
      <c r="D64" s="51" t="s">
        <v>41</v>
      </c>
      <c r="E64" s="13"/>
      <c r="F64" s="14"/>
    </row>
    <row r="65" ht="15.75" customHeight="1">
      <c r="A65" s="56" t="s">
        <v>42</v>
      </c>
      <c r="B65" s="53">
        <f>B54</f>
        <v>0</v>
      </c>
      <c r="C65" s="47"/>
      <c r="D65" s="57" t="s">
        <v>43</v>
      </c>
      <c r="E65" s="57" t="s">
        <v>44</v>
      </c>
      <c r="F65" s="58">
        <f>SUMIF('Step 1 - XDS'!$E$4:$E$53,E65,$B$4:$B$53)</f>
        <v>0</v>
      </c>
    </row>
    <row r="66" ht="15.75" customHeight="1">
      <c r="A66" s="56" t="s">
        <v>45</v>
      </c>
      <c r="B66" s="53">
        <f>SUMIF('Step 1 - XDS'!$E$4:$E$53,"X",$B$4:$B$53)</f>
        <v>0</v>
      </c>
      <c r="C66" s="47"/>
      <c r="D66" s="57" t="s">
        <v>46</v>
      </c>
      <c r="E66" s="57" t="s">
        <v>47</v>
      </c>
      <c r="F66" s="58">
        <f>SUMIF('Step 1 - XDS'!$E$4:$E$53,E66,$B$4:$B$53)</f>
        <v>0</v>
      </c>
    </row>
    <row r="67" ht="15.75" customHeight="1">
      <c r="A67" s="59" t="s">
        <v>48</v>
      </c>
      <c r="B67" s="60">
        <f>SUMIF('Step 1 - XDS'!$C$4:$C$53,"1-Admin",$B$4:$B$53)</f>
        <v>0</v>
      </c>
      <c r="C67" s="47"/>
      <c r="D67" s="57" t="s">
        <v>49</v>
      </c>
      <c r="E67" s="57" t="s">
        <v>50</v>
      </c>
      <c r="F67" s="58">
        <f>SUMIF('Step 1 - XDS'!$E$4:$E$53,E67,$B$4:$B$53)</f>
        <v>0</v>
      </c>
    </row>
    <row r="68" ht="15.75" customHeight="1">
      <c r="A68" s="56" t="s">
        <v>51</v>
      </c>
      <c r="B68" s="61">
        <f>B65-B66-B67</f>
        <v>0</v>
      </c>
      <c r="C68" s="47"/>
      <c r="D68" s="57" t="s">
        <v>52</v>
      </c>
      <c r="E68" s="57" t="s">
        <v>53</v>
      </c>
      <c r="F68" s="58">
        <f>SUMIF('Step 1 - XDS'!$E$4:$E$53,E68,$B$4:$B$53)</f>
        <v>0</v>
      </c>
      <c r="G68" s="42"/>
    </row>
    <row r="69" ht="15.75" customHeight="1">
      <c r="A69" s="56" t="s">
        <v>54</v>
      </c>
      <c r="B69" s="62">
        <f>B65-B68</f>
        <v>0</v>
      </c>
      <c r="C69" s="47"/>
      <c r="D69" s="47"/>
      <c r="E69" s="48"/>
      <c r="F69" s="42"/>
      <c r="G69" s="42"/>
    </row>
    <row r="70" ht="15.75" customHeight="1">
      <c r="A70" s="43"/>
      <c r="B70" s="46"/>
      <c r="C70" s="47"/>
      <c r="D70" s="47"/>
      <c r="E70" s="48"/>
      <c r="F70" s="42"/>
      <c r="G70" s="42"/>
    </row>
    <row r="71" ht="15.75" customHeight="1">
      <c r="A71" s="49" t="s">
        <v>55</v>
      </c>
      <c r="B71" s="13"/>
      <c r="C71" s="13"/>
      <c r="D71" s="13"/>
      <c r="E71" s="13"/>
      <c r="F71" s="13"/>
      <c r="G71" s="14"/>
    </row>
    <row r="72" ht="15.75" customHeight="1">
      <c r="A72" s="63" t="str">
        <f>IFERROR(__xludf.DUMMYFUNCTION("QUERY(A3:G53, ""SELECT A, B, C, D, E, F,G WHERE C = '1-Admin' OR D = 'Takes My Energy'"",1)"),"Specific Task")</f>
        <v>Specific Task</v>
      </c>
      <c r="B72" s="64" t="str">
        <f>IFERROR(__xludf.DUMMYFUNCTION("""COMPUTED_VALUE"""),"Hours/Week")</f>
        <v>Hours/Week</v>
      </c>
      <c r="C72" s="65" t="str">
        <f>IFERROR(__xludf.DUMMYFUNCTION("""COMPUTED_VALUE"""),"Tier")</f>
        <v>Tier</v>
      </c>
      <c r="D72" s="65" t="str">
        <f>IFERROR(__xludf.DUMMYFUNCTION("""COMPUTED_VALUE"""),"Energy")</f>
        <v>Energy</v>
      </c>
      <c r="E72" s="65" t="str">
        <f>IFERROR(__xludf.DUMMYFUNCTION("""COMPUTED_VALUE"""),"CDS")</f>
        <v>CDS</v>
      </c>
      <c r="F72" s="64" t="str">
        <f>IFERROR(__xludf.DUMMYFUNCTION("""COMPUTED_VALUE"""),"New Owner")</f>
        <v>New Owner</v>
      </c>
      <c r="G72" s="64" t="str">
        <f>IFERROR(__xludf.DUMMYFUNCTION("""COMPUTED_VALUE"""),"System to Create")</f>
        <v>System to Create</v>
      </c>
    </row>
    <row r="73" ht="15.75" customHeight="1">
      <c r="B73" s="50"/>
      <c r="C73" s="47"/>
      <c r="D73" s="47"/>
      <c r="E73" s="47"/>
      <c r="F73" s="46"/>
      <c r="G73" s="46"/>
    </row>
    <row r="74" ht="15.75" customHeight="1">
      <c r="B74" s="50"/>
      <c r="C74" s="47"/>
      <c r="D74" s="47"/>
      <c r="E74" s="48"/>
      <c r="F74" s="42"/>
      <c r="G74" s="42"/>
    </row>
    <row r="75" ht="15.75" customHeight="1">
      <c r="B75" s="50"/>
      <c r="C75" s="47"/>
      <c r="D75" s="47"/>
      <c r="E75" s="48"/>
      <c r="F75" s="42"/>
      <c r="G75" s="42"/>
    </row>
    <row r="76" ht="15.75" customHeight="1">
      <c r="B76" s="50"/>
      <c r="C76" s="47"/>
      <c r="D76" s="47"/>
      <c r="E76" s="48"/>
      <c r="F76" s="42"/>
      <c r="G76" s="42"/>
    </row>
    <row r="77" ht="15.75" customHeight="1">
      <c r="B77" s="46"/>
      <c r="C77" s="47"/>
      <c r="D77" s="47"/>
      <c r="E77" s="47"/>
      <c r="F77" s="46"/>
      <c r="G77" s="46"/>
    </row>
    <row r="78" ht="15.75" customHeight="1">
      <c r="B78" s="46"/>
      <c r="C78" s="47"/>
      <c r="D78" s="47"/>
      <c r="E78" s="47"/>
      <c r="F78" s="46"/>
      <c r="G78" s="46"/>
    </row>
    <row r="79" ht="15.75" customHeight="1">
      <c r="B79" s="46"/>
      <c r="C79" s="47"/>
      <c r="D79" s="47"/>
      <c r="E79" s="48"/>
      <c r="F79" s="42"/>
      <c r="G79" s="42"/>
    </row>
    <row r="80" ht="15.75" customHeight="1">
      <c r="B80" s="46"/>
      <c r="C80" s="47"/>
      <c r="D80" s="47"/>
      <c r="E80" s="48"/>
      <c r="F80" s="42"/>
      <c r="G80" s="42"/>
    </row>
    <row r="81" ht="15.75" customHeight="1">
      <c r="B81" s="46"/>
      <c r="C81" s="47"/>
      <c r="D81" s="47"/>
      <c r="E81" s="48"/>
      <c r="F81" s="42"/>
      <c r="G81" s="42"/>
    </row>
    <row r="82" ht="15.75" customHeight="1">
      <c r="B82" s="46"/>
      <c r="C82" s="47"/>
      <c r="D82" s="47"/>
      <c r="E82" s="48"/>
      <c r="F82" s="42"/>
      <c r="G82" s="42"/>
    </row>
    <row r="83" ht="15.75" customHeight="1">
      <c r="B83" s="46"/>
      <c r="C83" s="47"/>
      <c r="D83" s="47"/>
      <c r="E83" s="48"/>
      <c r="F83" s="42"/>
      <c r="G83" s="42"/>
    </row>
    <row r="84" ht="15.75" customHeight="1">
      <c r="B84" s="46"/>
      <c r="C84" s="47"/>
      <c r="D84" s="47"/>
      <c r="E84" s="48"/>
      <c r="F84" s="42"/>
      <c r="G84" s="42"/>
    </row>
    <row r="85" ht="15.75" customHeight="1">
      <c r="B85" s="46"/>
      <c r="C85" s="47"/>
      <c r="D85" s="47"/>
      <c r="E85" s="48"/>
      <c r="F85" s="42"/>
      <c r="G85" s="42"/>
    </row>
    <row r="86" ht="15.75" customHeight="1">
      <c r="B86" s="46"/>
      <c r="C86" s="47"/>
      <c r="D86" s="47"/>
      <c r="E86" s="48"/>
      <c r="F86" s="42"/>
      <c r="G86" s="42"/>
    </row>
    <row r="87" ht="15.75" customHeight="1">
      <c r="B87" s="46"/>
      <c r="C87" s="47"/>
      <c r="D87" s="47"/>
      <c r="E87" s="48"/>
      <c r="F87" s="42"/>
      <c r="G87" s="42"/>
    </row>
    <row r="88" ht="15.75" customHeight="1">
      <c r="B88" s="46"/>
      <c r="C88" s="47"/>
      <c r="D88" s="47"/>
      <c r="E88" s="48"/>
      <c r="F88" s="42"/>
      <c r="G88" s="42"/>
    </row>
    <row r="89" ht="15.75" customHeight="1">
      <c r="A89" s="49" t="s">
        <v>56</v>
      </c>
      <c r="B89" s="13"/>
      <c r="C89" s="13"/>
      <c r="D89" s="13"/>
      <c r="E89" s="13"/>
      <c r="F89" s="13"/>
      <c r="G89" s="14"/>
    </row>
    <row r="90" ht="15.75" customHeight="1">
      <c r="A90" s="63" t="str">
        <f>IFERROR(__xludf.DUMMYFUNCTION("QUERY(A3:G53, ""SELECT A, B, C, D, E, F, G WHERE C = '3-Manager' OR C = '4-Exec' OR D = 'Gives Me Energy'"",1)"),"Specific Task")</f>
        <v>Specific Task</v>
      </c>
      <c r="B90" s="64" t="str">
        <f>IFERROR(__xludf.DUMMYFUNCTION("""COMPUTED_VALUE"""),"Hours/Week")</f>
        <v>Hours/Week</v>
      </c>
      <c r="C90" s="65" t="str">
        <f>IFERROR(__xludf.DUMMYFUNCTION("""COMPUTED_VALUE"""),"Tier")</f>
        <v>Tier</v>
      </c>
      <c r="D90" s="65" t="str">
        <f>IFERROR(__xludf.DUMMYFUNCTION("""COMPUTED_VALUE"""),"Energy")</f>
        <v>Energy</v>
      </c>
      <c r="E90" s="66" t="str">
        <f>IFERROR(__xludf.DUMMYFUNCTION("""COMPUTED_VALUE"""),"CDS")</f>
        <v>CDS</v>
      </c>
      <c r="F90" s="67" t="str">
        <f>IFERROR(__xludf.DUMMYFUNCTION("""COMPUTED_VALUE"""),"New Owner")</f>
        <v>New Owner</v>
      </c>
      <c r="G90" s="67" t="str">
        <f>IFERROR(__xludf.DUMMYFUNCTION("""COMPUTED_VALUE"""),"System to Create")</f>
        <v>System to Create</v>
      </c>
    </row>
    <row r="91" ht="15.75" customHeight="1">
      <c r="A91" s="43"/>
      <c r="B91" s="50"/>
      <c r="C91" s="47"/>
      <c r="D91" s="47"/>
      <c r="E91" s="48"/>
      <c r="F91" s="42"/>
      <c r="G91" s="42"/>
    </row>
    <row r="92" ht="15.75" customHeight="1">
      <c r="A92" s="43"/>
      <c r="B92" s="50"/>
      <c r="C92" s="47"/>
      <c r="D92" s="47"/>
      <c r="E92" s="48"/>
      <c r="F92" s="42"/>
      <c r="G92" s="42"/>
    </row>
    <row r="93" ht="15.75" customHeight="1">
      <c r="A93" s="43"/>
      <c r="B93" s="50"/>
      <c r="C93" s="47"/>
      <c r="D93" s="47"/>
      <c r="E93" s="48"/>
      <c r="F93" s="42"/>
      <c r="G93" s="42"/>
    </row>
    <row r="94" ht="15.75" customHeight="1">
      <c r="A94" s="43"/>
      <c r="B94" s="50"/>
      <c r="C94" s="47"/>
      <c r="D94" s="47"/>
      <c r="E94" s="48"/>
      <c r="F94" s="42"/>
      <c r="G94" s="42"/>
    </row>
    <row r="95" ht="15.75" customHeight="1">
      <c r="A95" s="43"/>
      <c r="B95" s="50"/>
      <c r="C95" s="47"/>
      <c r="D95" s="47"/>
      <c r="E95" s="48"/>
      <c r="F95" s="42"/>
      <c r="G95" s="42"/>
    </row>
    <row r="96" ht="15.75" customHeight="1">
      <c r="A96" s="43"/>
      <c r="B96" s="50"/>
      <c r="C96" s="47"/>
      <c r="D96" s="47"/>
      <c r="E96" s="48"/>
      <c r="F96" s="42"/>
      <c r="G96" s="42"/>
    </row>
    <row r="97" ht="15.75" customHeight="1">
      <c r="A97" s="43"/>
      <c r="B97" s="50"/>
      <c r="C97" s="47"/>
      <c r="D97" s="47"/>
      <c r="E97" s="48"/>
      <c r="F97" s="42"/>
      <c r="G97" s="42"/>
    </row>
    <row r="98" ht="15.75" customHeight="1">
      <c r="A98" s="43"/>
      <c r="B98" s="50"/>
      <c r="C98" s="47"/>
      <c r="D98" s="47"/>
      <c r="E98" s="48"/>
      <c r="F98" s="42"/>
      <c r="G98" s="42"/>
    </row>
    <row r="99" ht="15.75" customHeight="1">
      <c r="A99" s="43"/>
      <c r="B99" s="50"/>
      <c r="C99" s="47"/>
      <c r="D99" s="47"/>
      <c r="E99" s="48"/>
      <c r="F99" s="42"/>
      <c r="G99" s="42"/>
    </row>
    <row r="100" ht="15.75" customHeight="1">
      <c r="A100" s="43"/>
      <c r="B100" s="50"/>
      <c r="C100" s="47"/>
      <c r="D100" s="47"/>
      <c r="E100" s="48"/>
      <c r="F100" s="42"/>
      <c r="G100" s="42"/>
    </row>
    <row r="101" ht="15.75" customHeight="1">
      <c r="A101" s="43"/>
      <c r="B101" s="50"/>
      <c r="C101" s="47"/>
      <c r="D101" s="47"/>
      <c r="E101" s="48"/>
      <c r="F101" s="42"/>
      <c r="G101" s="42"/>
    </row>
    <row r="102" ht="15.75" customHeight="1">
      <c r="A102" s="43"/>
      <c r="B102" s="50"/>
      <c r="C102" s="47"/>
      <c r="D102" s="47"/>
      <c r="E102" s="48"/>
      <c r="F102" s="42"/>
      <c r="G102" s="42"/>
    </row>
    <row r="103" ht="15.75" customHeight="1">
      <c r="A103" s="43"/>
      <c r="B103" s="46"/>
      <c r="C103" s="47"/>
      <c r="D103" s="47"/>
      <c r="E103" s="48"/>
      <c r="F103" s="42"/>
      <c r="G103" s="42"/>
    </row>
    <row r="104" ht="15.75" customHeight="1">
      <c r="A104" s="43"/>
      <c r="B104" s="46"/>
      <c r="C104" s="47"/>
      <c r="D104" s="47"/>
      <c r="E104" s="48"/>
      <c r="F104" s="42"/>
      <c r="G104" s="42"/>
    </row>
    <row r="105" ht="15.75" customHeight="1">
      <c r="A105" s="43"/>
      <c r="B105" s="46"/>
      <c r="C105" s="47"/>
      <c r="D105" s="47"/>
      <c r="E105" s="48"/>
      <c r="F105" s="42"/>
      <c r="G105" s="42"/>
    </row>
    <row r="106" ht="15.75" customHeight="1">
      <c r="A106" s="43"/>
      <c r="B106" s="46"/>
      <c r="C106" s="47"/>
      <c r="D106" s="47"/>
      <c r="E106" s="48"/>
      <c r="F106" s="42"/>
      <c r="G106" s="42"/>
    </row>
    <row r="107" ht="15.75" customHeight="1">
      <c r="A107" s="43"/>
      <c r="B107" s="46"/>
      <c r="C107" s="47"/>
      <c r="D107" s="47"/>
      <c r="E107" s="48"/>
      <c r="F107" s="42"/>
      <c r="G107" s="42"/>
    </row>
    <row r="108" ht="15.75" customHeight="1">
      <c r="A108" s="43"/>
      <c r="B108" s="46"/>
      <c r="C108" s="47"/>
      <c r="D108" s="47"/>
      <c r="E108" s="48"/>
      <c r="F108" s="42"/>
      <c r="G108" s="42"/>
    </row>
    <row r="109" ht="15.75" customHeight="1">
      <c r="A109" s="43"/>
      <c r="B109" s="46"/>
      <c r="C109" s="47"/>
      <c r="D109" s="47"/>
      <c r="E109" s="48"/>
      <c r="F109" s="42"/>
      <c r="G109" s="42"/>
    </row>
    <row r="110" ht="15.75" customHeight="1">
      <c r="A110" s="43"/>
      <c r="B110" s="46"/>
      <c r="C110" s="47"/>
      <c r="D110" s="47"/>
      <c r="E110" s="48"/>
      <c r="F110" s="42"/>
      <c r="G110" s="42"/>
    </row>
    <row r="111" ht="15.75" customHeight="1">
      <c r="A111" s="43"/>
      <c r="B111" s="46"/>
      <c r="C111" s="47"/>
      <c r="D111" s="47"/>
      <c r="E111" s="48"/>
      <c r="F111" s="42"/>
      <c r="G111" s="42"/>
    </row>
    <row r="112" ht="15.75" customHeight="1">
      <c r="A112" s="43"/>
      <c r="B112" s="46"/>
      <c r="C112" s="47"/>
      <c r="D112" s="47"/>
      <c r="E112" s="48"/>
      <c r="F112" s="42"/>
      <c r="G112" s="42"/>
    </row>
    <row r="113" ht="15.75" customHeight="1">
      <c r="A113" s="43"/>
      <c r="B113" s="46"/>
      <c r="C113" s="47"/>
      <c r="D113" s="47"/>
      <c r="E113" s="48"/>
      <c r="F113" s="42"/>
      <c r="G113" s="42"/>
    </row>
    <row r="114" ht="15.75" customHeight="1">
      <c r="A114" s="43"/>
      <c r="B114" s="46"/>
      <c r="C114" s="47"/>
      <c r="D114" s="47"/>
      <c r="E114" s="48"/>
      <c r="F114" s="42"/>
      <c r="G114" s="42"/>
    </row>
    <row r="115" ht="15.75" customHeight="1">
      <c r="A115" s="43"/>
      <c r="B115" s="46"/>
      <c r="C115" s="47"/>
      <c r="D115" s="47"/>
      <c r="E115" s="48"/>
      <c r="F115" s="42"/>
      <c r="G115" s="42"/>
    </row>
    <row r="116" ht="15.75" customHeight="1">
      <c r="A116" s="43"/>
      <c r="B116" s="46"/>
      <c r="C116" s="47"/>
      <c r="D116" s="47"/>
      <c r="E116" s="48"/>
      <c r="F116" s="42"/>
      <c r="G116" s="42"/>
    </row>
    <row r="117" ht="15.75" customHeight="1">
      <c r="A117" s="43"/>
      <c r="B117" s="46"/>
      <c r="C117" s="47"/>
      <c r="D117" s="47"/>
      <c r="E117" s="48"/>
      <c r="F117" s="42"/>
      <c r="G117" s="42"/>
    </row>
    <row r="118" ht="15.75" customHeight="1">
      <c r="A118" s="43"/>
      <c r="B118" s="46"/>
      <c r="C118" s="47"/>
      <c r="D118" s="47"/>
      <c r="E118" s="48"/>
      <c r="F118" s="42"/>
      <c r="G118" s="42"/>
    </row>
    <row r="119" ht="15.75" customHeight="1">
      <c r="A119" s="43"/>
      <c r="B119" s="46"/>
      <c r="C119" s="47"/>
      <c r="D119" s="47"/>
      <c r="E119" s="48"/>
      <c r="F119" s="42"/>
      <c r="G119" s="42"/>
    </row>
    <row r="120" ht="15.75" customHeight="1">
      <c r="A120" s="43"/>
      <c r="B120" s="46"/>
      <c r="C120" s="47"/>
      <c r="D120" s="47"/>
      <c r="E120" s="48"/>
      <c r="F120" s="42"/>
      <c r="G120" s="42"/>
    </row>
    <row r="121" ht="15.75" customHeight="1">
      <c r="A121" s="43"/>
      <c r="B121" s="46"/>
      <c r="C121" s="47"/>
      <c r="D121" s="47"/>
      <c r="E121" s="48"/>
      <c r="F121" s="42"/>
      <c r="G121" s="42"/>
    </row>
    <row r="122" ht="15.75" customHeight="1">
      <c r="A122" s="43"/>
      <c r="B122" s="46"/>
      <c r="C122" s="47"/>
      <c r="D122" s="47"/>
      <c r="E122" s="48"/>
      <c r="F122" s="42"/>
      <c r="G122" s="42"/>
    </row>
    <row r="123" ht="15.75" customHeight="1">
      <c r="A123" s="43"/>
      <c r="B123" s="46"/>
      <c r="C123" s="47"/>
      <c r="D123" s="47"/>
      <c r="E123" s="48"/>
      <c r="F123" s="42"/>
      <c r="G123" s="42"/>
    </row>
    <row r="124" ht="15.75" customHeight="1">
      <c r="A124" s="43"/>
      <c r="B124" s="46"/>
      <c r="C124" s="47"/>
      <c r="D124" s="47"/>
      <c r="E124" s="48"/>
      <c r="F124" s="42"/>
      <c r="G124" s="42"/>
    </row>
    <row r="125" ht="15.75" customHeight="1">
      <c r="A125" s="43"/>
      <c r="B125" s="46"/>
      <c r="C125" s="47"/>
      <c r="D125" s="47"/>
      <c r="E125" s="48"/>
      <c r="F125" s="42"/>
      <c r="G125" s="42"/>
    </row>
    <row r="126" ht="15.75" customHeight="1">
      <c r="A126" s="43"/>
      <c r="B126" s="46"/>
      <c r="C126" s="47"/>
      <c r="D126" s="47"/>
      <c r="E126" s="48"/>
      <c r="F126" s="42"/>
      <c r="G126" s="42"/>
    </row>
    <row r="127" ht="15.75" customHeight="1">
      <c r="A127" s="43"/>
      <c r="B127" s="46"/>
      <c r="C127" s="47"/>
      <c r="D127" s="47"/>
      <c r="E127" s="48"/>
      <c r="F127" s="42"/>
      <c r="G127" s="42"/>
    </row>
    <row r="128" ht="15.75" customHeight="1">
      <c r="A128" s="43"/>
      <c r="B128" s="46"/>
      <c r="C128" s="47"/>
      <c r="D128" s="47"/>
      <c r="E128" s="48"/>
      <c r="F128" s="42"/>
      <c r="G128" s="42"/>
    </row>
    <row r="129" ht="15.75" customHeight="1">
      <c r="A129" s="43"/>
      <c r="B129" s="46"/>
      <c r="C129" s="47"/>
      <c r="D129" s="47"/>
      <c r="E129" s="48"/>
      <c r="F129" s="42"/>
      <c r="G129" s="42"/>
    </row>
    <row r="130" ht="15.75" customHeight="1">
      <c r="A130" s="43"/>
      <c r="B130" s="46"/>
      <c r="C130" s="47"/>
      <c r="D130" s="47"/>
      <c r="E130" s="48"/>
      <c r="F130" s="42"/>
      <c r="G130" s="42"/>
    </row>
    <row r="131" ht="15.75" customHeight="1">
      <c r="A131" s="43"/>
      <c r="B131" s="46"/>
      <c r="C131" s="47"/>
      <c r="D131" s="47"/>
      <c r="E131" s="48"/>
      <c r="F131" s="42"/>
      <c r="G131" s="42"/>
    </row>
    <row r="132" ht="15.75" customHeight="1">
      <c r="A132" s="43"/>
      <c r="B132" s="46"/>
      <c r="C132" s="47"/>
      <c r="D132" s="47"/>
      <c r="E132" s="48"/>
      <c r="F132" s="42"/>
      <c r="G132" s="42"/>
    </row>
    <row r="133" ht="15.75" customHeight="1">
      <c r="A133" s="43"/>
      <c r="B133" s="46"/>
      <c r="C133" s="47"/>
      <c r="D133" s="47"/>
      <c r="E133" s="48"/>
      <c r="F133" s="42"/>
      <c r="G133" s="42"/>
    </row>
    <row r="134" ht="15.75" customHeight="1">
      <c r="A134" s="43"/>
      <c r="B134" s="46"/>
      <c r="C134" s="47"/>
      <c r="D134" s="47"/>
      <c r="E134" s="48"/>
      <c r="F134" s="42"/>
      <c r="G134" s="42"/>
    </row>
    <row r="135" ht="15.75" customHeight="1">
      <c r="A135" s="43"/>
      <c r="B135" s="46"/>
      <c r="C135" s="47"/>
      <c r="D135" s="47"/>
      <c r="E135" s="48"/>
      <c r="F135" s="42"/>
      <c r="G135" s="42"/>
    </row>
    <row r="136" ht="15.75" customHeight="1">
      <c r="A136" s="43"/>
      <c r="B136" s="46"/>
      <c r="C136" s="47"/>
      <c r="D136" s="47"/>
      <c r="E136" s="48"/>
      <c r="F136" s="42"/>
      <c r="G136" s="42"/>
    </row>
    <row r="137" ht="15.75" customHeight="1">
      <c r="A137" s="43"/>
      <c r="B137" s="46"/>
      <c r="C137" s="47"/>
      <c r="D137" s="47"/>
      <c r="E137" s="48"/>
      <c r="F137" s="42"/>
      <c r="G137" s="42"/>
    </row>
    <row r="138" ht="15.75" customHeight="1">
      <c r="A138" s="43"/>
      <c r="B138" s="46"/>
      <c r="C138" s="47"/>
      <c r="D138" s="47"/>
      <c r="E138" s="48"/>
      <c r="F138" s="42"/>
      <c r="G138" s="42"/>
    </row>
    <row r="139" ht="15.75" customHeight="1">
      <c r="A139" s="43"/>
      <c r="B139" s="46"/>
      <c r="C139" s="47"/>
      <c r="D139" s="47"/>
      <c r="E139" s="48"/>
      <c r="F139" s="42"/>
      <c r="G139" s="42"/>
    </row>
    <row r="140" ht="15.75" customHeight="1">
      <c r="A140" s="43"/>
      <c r="B140" s="46"/>
      <c r="C140" s="47"/>
      <c r="D140" s="47"/>
      <c r="E140" s="48"/>
      <c r="F140" s="42"/>
      <c r="G140" s="42"/>
    </row>
    <row r="141" ht="15.75" customHeight="1">
      <c r="A141" s="43"/>
      <c r="B141" s="46"/>
      <c r="C141" s="47"/>
      <c r="D141" s="47"/>
      <c r="E141" s="48"/>
      <c r="F141" s="42"/>
      <c r="G141" s="42"/>
    </row>
    <row r="142" ht="15.75" customHeight="1">
      <c r="A142" s="43"/>
      <c r="B142" s="46"/>
      <c r="C142" s="47"/>
      <c r="D142" s="47"/>
      <c r="E142" s="48"/>
      <c r="F142" s="42"/>
      <c r="G142" s="42"/>
    </row>
    <row r="143" ht="15.75" customHeight="1">
      <c r="A143" s="43"/>
      <c r="B143" s="46"/>
      <c r="C143" s="47"/>
      <c r="D143" s="47"/>
      <c r="E143" s="48"/>
      <c r="F143" s="42"/>
      <c r="G143" s="42"/>
    </row>
    <row r="144" ht="15.75" customHeight="1">
      <c r="A144" s="43"/>
      <c r="B144" s="46"/>
      <c r="C144" s="47"/>
      <c r="D144" s="47"/>
      <c r="E144" s="48"/>
      <c r="F144" s="42"/>
      <c r="G144" s="42"/>
    </row>
    <row r="145" ht="15.75" customHeight="1">
      <c r="A145" s="43"/>
      <c r="B145" s="46"/>
      <c r="C145" s="47"/>
      <c r="D145" s="47"/>
      <c r="E145" s="48"/>
      <c r="F145" s="42"/>
      <c r="G145" s="42"/>
    </row>
    <row r="146" ht="15.75" customHeight="1">
      <c r="A146" s="43"/>
      <c r="B146" s="46"/>
      <c r="C146" s="47"/>
      <c r="D146" s="47"/>
      <c r="E146" s="48"/>
      <c r="F146" s="42"/>
      <c r="G146" s="42"/>
    </row>
    <row r="147" ht="15.75" customHeight="1">
      <c r="A147" s="43"/>
      <c r="B147" s="46"/>
      <c r="C147" s="47"/>
      <c r="D147" s="47"/>
      <c r="E147" s="48"/>
      <c r="F147" s="42"/>
      <c r="G147" s="42"/>
    </row>
    <row r="148" ht="15.75" customHeight="1">
      <c r="A148" s="43"/>
      <c r="B148" s="46"/>
      <c r="C148" s="47"/>
      <c r="D148" s="47"/>
      <c r="E148" s="48"/>
      <c r="F148" s="42"/>
      <c r="G148" s="42"/>
    </row>
    <row r="149" ht="15.75" customHeight="1">
      <c r="A149" s="43"/>
      <c r="B149" s="46"/>
      <c r="C149" s="47"/>
      <c r="D149" s="47"/>
      <c r="E149" s="48"/>
      <c r="F149" s="42"/>
      <c r="G149" s="42"/>
    </row>
    <row r="150" ht="15.75" customHeight="1">
      <c r="A150" s="43"/>
      <c r="B150" s="46"/>
      <c r="C150" s="47"/>
      <c r="D150" s="47"/>
      <c r="E150" s="48"/>
      <c r="F150" s="42"/>
      <c r="G150" s="42"/>
    </row>
    <row r="151" ht="15.75" customHeight="1">
      <c r="A151" s="43"/>
      <c r="B151" s="46"/>
      <c r="C151" s="47"/>
      <c r="D151" s="47"/>
      <c r="E151" s="48"/>
      <c r="F151" s="42"/>
      <c r="G151" s="42"/>
    </row>
    <row r="152" ht="15.75" customHeight="1">
      <c r="A152" s="43"/>
      <c r="B152" s="46"/>
      <c r="C152" s="47"/>
      <c r="D152" s="47"/>
      <c r="E152" s="48"/>
      <c r="F152" s="42"/>
      <c r="G152" s="42"/>
    </row>
    <row r="153" ht="15.75" customHeight="1">
      <c r="A153" s="43"/>
      <c r="B153" s="46"/>
      <c r="C153" s="47"/>
      <c r="D153" s="47"/>
      <c r="E153" s="48"/>
      <c r="F153" s="42"/>
      <c r="G153" s="42"/>
    </row>
    <row r="154" ht="15.75" customHeight="1">
      <c r="A154" s="43"/>
      <c r="B154" s="46"/>
      <c r="C154" s="47"/>
      <c r="D154" s="47"/>
      <c r="E154" s="48"/>
      <c r="F154" s="42"/>
      <c r="G154" s="42"/>
    </row>
    <row r="155" ht="15.75" customHeight="1">
      <c r="A155" s="43"/>
      <c r="B155" s="46"/>
      <c r="C155" s="47"/>
      <c r="D155" s="47"/>
      <c r="E155" s="48"/>
      <c r="F155" s="42"/>
      <c r="G155" s="42"/>
    </row>
    <row r="156" ht="15.75" customHeight="1">
      <c r="A156" s="43"/>
      <c r="B156" s="46"/>
      <c r="C156" s="47"/>
      <c r="D156" s="47"/>
      <c r="E156" s="48"/>
      <c r="F156" s="42"/>
      <c r="G156" s="42"/>
    </row>
    <row r="157" ht="15.75" customHeight="1">
      <c r="A157" s="43"/>
      <c r="B157" s="46"/>
      <c r="C157" s="47"/>
      <c r="D157" s="47"/>
      <c r="E157" s="48"/>
      <c r="F157" s="42"/>
      <c r="G157" s="42"/>
    </row>
    <row r="158" ht="15.75" customHeight="1">
      <c r="A158" s="43"/>
      <c r="B158" s="46"/>
      <c r="C158" s="47"/>
      <c r="D158" s="47"/>
      <c r="E158" s="48"/>
      <c r="F158" s="42"/>
      <c r="G158" s="42"/>
    </row>
    <row r="159" ht="15.75" customHeight="1">
      <c r="A159" s="43"/>
      <c r="B159" s="46"/>
      <c r="C159" s="47"/>
      <c r="D159" s="47"/>
      <c r="E159" s="48"/>
      <c r="F159" s="42"/>
      <c r="G159" s="42"/>
    </row>
    <row r="160" ht="15.75" customHeight="1">
      <c r="A160" s="43"/>
      <c r="B160" s="46"/>
      <c r="C160" s="47"/>
      <c r="D160" s="47"/>
      <c r="E160" s="48"/>
      <c r="F160" s="42"/>
      <c r="G160" s="42"/>
    </row>
    <row r="161" ht="15.75" customHeight="1">
      <c r="A161" s="43"/>
      <c r="B161" s="46"/>
      <c r="C161" s="47"/>
      <c r="D161" s="47"/>
      <c r="E161" s="48"/>
      <c r="F161" s="42"/>
      <c r="G161" s="42"/>
    </row>
    <row r="162" ht="15.75" customHeight="1">
      <c r="A162" s="43"/>
      <c r="B162" s="46"/>
      <c r="C162" s="47"/>
      <c r="D162" s="47"/>
      <c r="E162" s="48"/>
      <c r="F162" s="42"/>
      <c r="G162" s="42"/>
    </row>
    <row r="163" ht="15.75" customHeight="1">
      <c r="A163" s="43"/>
      <c r="B163" s="46"/>
      <c r="C163" s="47"/>
      <c r="D163" s="47"/>
      <c r="E163" s="48"/>
      <c r="F163" s="42"/>
      <c r="G163" s="42"/>
    </row>
    <row r="164" ht="15.75" customHeight="1">
      <c r="A164" s="43"/>
      <c r="B164" s="46"/>
      <c r="C164" s="47"/>
      <c r="D164" s="47"/>
      <c r="E164" s="48"/>
      <c r="F164" s="42"/>
      <c r="G164" s="42"/>
    </row>
    <row r="165" ht="15.75" customHeight="1">
      <c r="A165" s="43"/>
      <c r="B165" s="46"/>
      <c r="C165" s="47"/>
      <c r="D165" s="47"/>
      <c r="E165" s="48"/>
      <c r="F165" s="42"/>
      <c r="G165" s="42"/>
    </row>
    <row r="166" ht="15.75" customHeight="1">
      <c r="A166" s="43"/>
      <c r="B166" s="46"/>
      <c r="C166" s="47"/>
      <c r="D166" s="47"/>
      <c r="E166" s="48"/>
      <c r="F166" s="42"/>
      <c r="G166" s="42"/>
    </row>
    <row r="167" ht="15.75" customHeight="1">
      <c r="A167" s="43"/>
      <c r="B167" s="46"/>
      <c r="C167" s="47"/>
      <c r="D167" s="47"/>
      <c r="E167" s="48"/>
      <c r="F167" s="42"/>
      <c r="G167" s="42"/>
    </row>
    <row r="168" ht="15.75" customHeight="1">
      <c r="A168" s="43"/>
      <c r="B168" s="46"/>
      <c r="C168" s="47"/>
      <c r="D168" s="47"/>
      <c r="E168" s="48"/>
      <c r="F168" s="42"/>
      <c r="G168" s="42"/>
    </row>
    <row r="169" ht="15.75" customHeight="1">
      <c r="A169" s="43"/>
      <c r="B169" s="46"/>
      <c r="C169" s="47"/>
      <c r="D169" s="47"/>
      <c r="E169" s="48"/>
      <c r="F169" s="42"/>
      <c r="G169" s="42"/>
    </row>
    <row r="170" ht="15.75" customHeight="1">
      <c r="A170" s="43"/>
      <c r="B170" s="46"/>
      <c r="C170" s="47"/>
      <c r="D170" s="47"/>
      <c r="E170" s="48"/>
      <c r="F170" s="42"/>
      <c r="G170" s="42"/>
    </row>
    <row r="171" ht="15.75" customHeight="1">
      <c r="A171" s="43"/>
      <c r="B171" s="46"/>
      <c r="C171" s="47"/>
      <c r="D171" s="47"/>
      <c r="E171" s="48"/>
      <c r="F171" s="42"/>
      <c r="G171" s="42"/>
    </row>
    <row r="172" ht="15.75" customHeight="1">
      <c r="A172" s="43"/>
      <c r="B172" s="46"/>
      <c r="C172" s="47"/>
      <c r="D172" s="47"/>
      <c r="E172" s="48"/>
      <c r="F172" s="42"/>
      <c r="G172" s="42"/>
    </row>
    <row r="173" ht="15.75" customHeight="1">
      <c r="A173" s="43"/>
      <c r="B173" s="46"/>
      <c r="C173" s="47"/>
      <c r="D173" s="47"/>
      <c r="E173" s="48"/>
      <c r="F173" s="42"/>
      <c r="G173" s="42"/>
    </row>
    <row r="174" ht="15.75" customHeight="1">
      <c r="A174" s="43"/>
      <c r="B174" s="46"/>
      <c r="C174" s="47"/>
      <c r="D174" s="47"/>
      <c r="E174" s="48"/>
      <c r="F174" s="42"/>
      <c r="G174" s="42"/>
    </row>
    <row r="175" ht="15.75" customHeight="1">
      <c r="A175" s="43"/>
      <c r="B175" s="46"/>
      <c r="C175" s="47"/>
      <c r="D175" s="47"/>
      <c r="E175" s="48"/>
      <c r="F175" s="42"/>
      <c r="G175" s="42"/>
    </row>
    <row r="176" ht="15.75" customHeight="1">
      <c r="A176" s="43"/>
      <c r="B176" s="46"/>
      <c r="C176" s="47"/>
      <c r="D176" s="47"/>
      <c r="E176" s="48"/>
      <c r="F176" s="42"/>
      <c r="G176" s="42"/>
    </row>
    <row r="177" ht="15.75" customHeight="1">
      <c r="A177" s="43"/>
      <c r="B177" s="46"/>
      <c r="C177" s="47"/>
      <c r="D177" s="47"/>
      <c r="E177" s="48"/>
      <c r="F177" s="42"/>
      <c r="G177" s="42"/>
    </row>
    <row r="178" ht="15.75" customHeight="1">
      <c r="A178" s="43"/>
      <c r="B178" s="46"/>
      <c r="C178" s="47"/>
      <c r="D178" s="47"/>
      <c r="E178" s="48"/>
      <c r="F178" s="42"/>
      <c r="G178" s="42"/>
    </row>
    <row r="179" ht="15.75" customHeight="1">
      <c r="A179" s="43"/>
      <c r="B179" s="46"/>
      <c r="C179" s="47"/>
      <c r="D179" s="47"/>
      <c r="E179" s="48"/>
      <c r="F179" s="42"/>
      <c r="G179" s="42"/>
    </row>
    <row r="180" ht="15.75" customHeight="1">
      <c r="A180" s="43"/>
      <c r="B180" s="46"/>
      <c r="C180" s="47"/>
      <c r="D180" s="47"/>
      <c r="E180" s="48"/>
      <c r="F180" s="42"/>
      <c r="G180" s="42"/>
    </row>
    <row r="181" ht="15.75" customHeight="1">
      <c r="A181" s="43"/>
      <c r="B181" s="46"/>
      <c r="C181" s="47"/>
      <c r="D181" s="47"/>
      <c r="E181" s="48"/>
      <c r="F181" s="42"/>
      <c r="G181" s="42"/>
    </row>
    <row r="182" ht="15.75" customHeight="1">
      <c r="A182" s="43"/>
      <c r="B182" s="46"/>
      <c r="C182" s="47"/>
      <c r="D182" s="47"/>
      <c r="E182" s="48"/>
      <c r="F182" s="42"/>
      <c r="G182" s="42"/>
    </row>
    <row r="183" ht="15.75" customHeight="1">
      <c r="A183" s="43"/>
      <c r="B183" s="46"/>
      <c r="C183" s="47"/>
      <c r="D183" s="47"/>
      <c r="E183" s="48"/>
      <c r="F183" s="42"/>
      <c r="G183" s="42"/>
    </row>
    <row r="184" ht="15.75" customHeight="1">
      <c r="A184" s="43"/>
      <c r="B184" s="46"/>
      <c r="C184" s="47"/>
      <c r="D184" s="47"/>
      <c r="E184" s="48"/>
      <c r="F184" s="42"/>
      <c r="G184" s="42"/>
    </row>
    <row r="185" ht="15.75" customHeight="1">
      <c r="A185" s="43"/>
      <c r="B185" s="46"/>
      <c r="C185" s="47"/>
      <c r="D185" s="47"/>
      <c r="E185" s="48"/>
      <c r="F185" s="42"/>
      <c r="G185" s="42"/>
    </row>
    <row r="186" ht="15.75" customHeight="1">
      <c r="A186" s="43"/>
      <c r="B186" s="46"/>
      <c r="C186" s="47"/>
      <c r="D186" s="47"/>
      <c r="E186" s="48"/>
      <c r="F186" s="42"/>
      <c r="G186" s="42"/>
    </row>
    <row r="187" ht="15.75" customHeight="1">
      <c r="A187" s="43"/>
      <c r="B187" s="46"/>
      <c r="C187" s="47"/>
      <c r="D187" s="47"/>
      <c r="E187" s="48"/>
      <c r="F187" s="42"/>
      <c r="G187" s="42"/>
    </row>
    <row r="188" ht="15.75" customHeight="1">
      <c r="A188" s="43"/>
      <c r="B188" s="46"/>
      <c r="C188" s="47"/>
      <c r="D188" s="47"/>
      <c r="E188" s="48"/>
      <c r="F188" s="42"/>
      <c r="G188" s="42"/>
    </row>
    <row r="189" ht="15.75" customHeight="1">
      <c r="A189" s="43"/>
      <c r="B189" s="46"/>
      <c r="C189" s="47"/>
      <c r="D189" s="47"/>
      <c r="E189" s="48"/>
      <c r="F189" s="42"/>
      <c r="G189" s="42"/>
    </row>
    <row r="190" ht="15.75" customHeight="1">
      <c r="A190" s="43"/>
      <c r="B190" s="46"/>
      <c r="C190" s="47"/>
      <c r="D190" s="47"/>
      <c r="E190" s="48"/>
      <c r="F190" s="42"/>
      <c r="G190" s="42"/>
    </row>
    <row r="191" ht="15.75" customHeight="1">
      <c r="A191" s="43"/>
      <c r="B191" s="46"/>
      <c r="C191" s="47"/>
      <c r="D191" s="47"/>
      <c r="E191" s="48"/>
      <c r="F191" s="42"/>
      <c r="G191" s="42"/>
    </row>
    <row r="192" ht="15.75" customHeight="1">
      <c r="A192" s="43"/>
      <c r="B192" s="46"/>
      <c r="C192" s="47"/>
      <c r="D192" s="47"/>
      <c r="E192" s="48"/>
      <c r="F192" s="42"/>
      <c r="G192" s="42"/>
    </row>
    <row r="193" ht="15.75" customHeight="1">
      <c r="A193" s="43"/>
      <c r="B193" s="46"/>
      <c r="C193" s="47"/>
      <c r="D193" s="47"/>
      <c r="E193" s="48"/>
      <c r="F193" s="42"/>
      <c r="G193" s="42"/>
    </row>
    <row r="194" ht="15.75" customHeight="1">
      <c r="A194" s="43"/>
      <c r="B194" s="46"/>
      <c r="C194" s="47"/>
      <c r="D194" s="47"/>
      <c r="E194" s="48"/>
      <c r="F194" s="42"/>
      <c r="G194" s="42"/>
    </row>
    <row r="195" ht="15.75" customHeight="1">
      <c r="A195" s="43"/>
      <c r="B195" s="46"/>
      <c r="C195" s="47"/>
      <c r="D195" s="47"/>
      <c r="E195" s="48"/>
      <c r="F195" s="42"/>
      <c r="G195" s="42"/>
    </row>
    <row r="196" ht="15.75" customHeight="1">
      <c r="A196" s="43"/>
      <c r="B196" s="46"/>
      <c r="C196" s="47"/>
      <c r="D196" s="47"/>
      <c r="E196" s="48"/>
      <c r="F196" s="42"/>
      <c r="G196" s="42"/>
    </row>
    <row r="197" ht="15.75" customHeight="1">
      <c r="A197" s="43"/>
      <c r="B197" s="46"/>
      <c r="C197" s="47"/>
      <c r="D197" s="47"/>
      <c r="E197" s="48"/>
      <c r="F197" s="42"/>
      <c r="G197" s="42"/>
    </row>
    <row r="198" ht="15.75" customHeight="1">
      <c r="A198" s="43"/>
      <c r="B198" s="46"/>
      <c r="C198" s="47"/>
      <c r="D198" s="47"/>
      <c r="E198" s="48"/>
      <c r="F198" s="42"/>
      <c r="G198" s="42"/>
    </row>
    <row r="199" ht="15.75" customHeight="1">
      <c r="A199" s="43"/>
      <c r="B199" s="46"/>
      <c r="C199" s="47"/>
      <c r="D199" s="47"/>
      <c r="E199" s="48"/>
      <c r="F199" s="42"/>
      <c r="G199" s="42"/>
    </row>
    <row r="200" ht="15.75" customHeight="1">
      <c r="A200" s="43"/>
      <c r="B200" s="46"/>
      <c r="C200" s="47"/>
      <c r="D200" s="47"/>
      <c r="E200" s="48"/>
      <c r="F200" s="42"/>
      <c r="G200" s="42"/>
    </row>
    <row r="201" ht="15.75" customHeight="1">
      <c r="A201" s="43"/>
      <c r="B201" s="46"/>
      <c r="C201" s="47"/>
      <c r="D201" s="47"/>
      <c r="E201" s="48"/>
      <c r="F201" s="42"/>
      <c r="G201" s="42"/>
    </row>
    <row r="202" ht="15.75" customHeight="1">
      <c r="A202" s="43"/>
      <c r="B202" s="46"/>
      <c r="C202" s="47"/>
      <c r="D202" s="47"/>
      <c r="E202" s="48"/>
      <c r="F202" s="42"/>
      <c r="G202" s="42"/>
    </row>
    <row r="203" ht="15.75" customHeight="1">
      <c r="A203" s="43"/>
      <c r="B203" s="46"/>
      <c r="C203" s="47"/>
      <c r="D203" s="47"/>
      <c r="E203" s="48"/>
      <c r="F203" s="42"/>
      <c r="G203" s="42"/>
    </row>
    <row r="204" ht="15.75" customHeight="1">
      <c r="A204" s="43"/>
      <c r="B204" s="46"/>
      <c r="C204" s="47"/>
      <c r="D204" s="47"/>
      <c r="E204" s="48"/>
      <c r="F204" s="42"/>
      <c r="G204" s="42"/>
    </row>
    <row r="205" ht="15.75" customHeight="1">
      <c r="A205" s="43"/>
      <c r="B205" s="46"/>
      <c r="C205" s="47"/>
      <c r="D205" s="47"/>
      <c r="E205" s="48"/>
      <c r="F205" s="42"/>
      <c r="G205" s="42"/>
    </row>
    <row r="206" ht="15.75" customHeight="1">
      <c r="A206" s="43"/>
      <c r="B206" s="46"/>
      <c r="C206" s="47"/>
      <c r="D206" s="47"/>
      <c r="E206" s="48"/>
      <c r="F206" s="42"/>
      <c r="G206" s="42"/>
    </row>
    <row r="207" ht="15.75" customHeight="1">
      <c r="A207" s="43"/>
      <c r="B207" s="46"/>
      <c r="C207" s="47"/>
      <c r="D207" s="47"/>
      <c r="E207" s="48"/>
      <c r="F207" s="42"/>
      <c r="G207" s="42"/>
    </row>
    <row r="208" ht="15.75" customHeight="1">
      <c r="A208" s="43"/>
      <c r="B208" s="46"/>
      <c r="C208" s="47"/>
      <c r="D208" s="47"/>
      <c r="E208" s="48"/>
      <c r="F208" s="42"/>
      <c r="G208" s="42"/>
    </row>
    <row r="209" ht="15.75" customHeight="1">
      <c r="A209" s="43"/>
      <c r="B209" s="46"/>
      <c r="C209" s="47"/>
      <c r="D209" s="47"/>
      <c r="E209" s="48"/>
      <c r="F209" s="42"/>
      <c r="G209" s="42"/>
    </row>
    <row r="210" ht="15.75" customHeight="1">
      <c r="A210" s="43"/>
      <c r="B210" s="46"/>
      <c r="C210" s="47"/>
      <c r="D210" s="47"/>
      <c r="E210" s="48"/>
      <c r="F210" s="42"/>
      <c r="G210" s="42"/>
    </row>
    <row r="211" ht="15.75" customHeight="1">
      <c r="A211" s="43"/>
      <c r="B211" s="46"/>
      <c r="C211" s="47"/>
      <c r="D211" s="47"/>
      <c r="E211" s="48"/>
      <c r="F211" s="42"/>
      <c r="G211" s="42"/>
    </row>
    <row r="212" ht="15.75" customHeight="1">
      <c r="A212" s="43"/>
      <c r="B212" s="46"/>
      <c r="C212" s="47"/>
      <c r="D212" s="47"/>
      <c r="E212" s="48"/>
      <c r="F212" s="42"/>
      <c r="G212" s="42"/>
    </row>
    <row r="213" ht="15.75" customHeight="1">
      <c r="A213" s="43"/>
      <c r="B213" s="46"/>
      <c r="C213" s="47"/>
      <c r="D213" s="47"/>
      <c r="E213" s="48"/>
      <c r="F213" s="42"/>
      <c r="G213" s="42"/>
    </row>
    <row r="214" ht="15.75" customHeight="1">
      <c r="A214" s="43"/>
      <c r="B214" s="46"/>
      <c r="C214" s="47"/>
      <c r="D214" s="47"/>
      <c r="E214" s="48"/>
      <c r="F214" s="42"/>
      <c r="G214" s="42"/>
    </row>
    <row r="215" ht="15.75" customHeight="1">
      <c r="A215" s="43"/>
      <c r="B215" s="46"/>
      <c r="C215" s="47"/>
      <c r="D215" s="47"/>
      <c r="E215" s="48"/>
      <c r="F215" s="42"/>
      <c r="G215" s="42"/>
    </row>
    <row r="216" ht="15.75" customHeight="1">
      <c r="A216" s="43"/>
      <c r="B216" s="46"/>
      <c r="C216" s="47"/>
      <c r="D216" s="47"/>
      <c r="E216" s="48"/>
      <c r="F216" s="42"/>
      <c r="G216" s="42"/>
    </row>
    <row r="217" ht="15.75" customHeight="1">
      <c r="A217" s="43"/>
      <c r="B217" s="46"/>
      <c r="C217" s="47"/>
      <c r="D217" s="47"/>
      <c r="E217" s="48"/>
      <c r="F217" s="42"/>
      <c r="G217" s="42"/>
    </row>
    <row r="218" ht="15.75" customHeight="1">
      <c r="A218" s="43"/>
      <c r="B218" s="46"/>
      <c r="C218" s="47"/>
      <c r="D218" s="47"/>
      <c r="E218" s="48"/>
      <c r="F218" s="42"/>
      <c r="G218" s="42"/>
    </row>
    <row r="219" ht="15.75" customHeight="1">
      <c r="A219" s="43"/>
      <c r="B219" s="46"/>
      <c r="C219" s="47"/>
      <c r="D219" s="47"/>
      <c r="E219" s="48"/>
      <c r="F219" s="42"/>
      <c r="G219" s="42"/>
    </row>
    <row r="220" ht="15.75" customHeight="1">
      <c r="A220" s="43"/>
      <c r="B220" s="46"/>
      <c r="C220" s="47"/>
      <c r="D220" s="47"/>
      <c r="E220" s="48"/>
      <c r="F220" s="42"/>
      <c r="G220" s="42"/>
    </row>
    <row r="221" ht="15.75" customHeight="1">
      <c r="A221" s="43"/>
      <c r="B221" s="46"/>
      <c r="C221" s="47"/>
      <c r="D221" s="47"/>
      <c r="E221" s="48"/>
      <c r="F221" s="42"/>
      <c r="G221" s="42"/>
    </row>
    <row r="222" ht="15.75" customHeight="1">
      <c r="A222" s="43"/>
      <c r="B222" s="46"/>
      <c r="C222" s="47"/>
      <c r="D222" s="47"/>
      <c r="E222" s="48"/>
      <c r="F222" s="42"/>
      <c r="G222" s="42"/>
    </row>
    <row r="223" ht="15.75" customHeight="1">
      <c r="A223" s="43"/>
      <c r="B223" s="46"/>
      <c r="C223" s="47"/>
      <c r="D223" s="47"/>
      <c r="E223" s="48"/>
      <c r="F223" s="42"/>
      <c r="G223" s="42"/>
    </row>
    <row r="224" ht="15.75" customHeight="1">
      <c r="A224" s="43"/>
      <c r="B224" s="46"/>
      <c r="C224" s="47"/>
      <c r="D224" s="47"/>
      <c r="E224" s="48"/>
      <c r="F224" s="42"/>
      <c r="G224" s="42"/>
    </row>
    <row r="225" ht="15.75" customHeight="1">
      <c r="A225" s="43"/>
      <c r="B225" s="46"/>
      <c r="C225" s="47"/>
      <c r="D225" s="47"/>
      <c r="E225" s="48"/>
      <c r="F225" s="42"/>
      <c r="G225" s="42"/>
    </row>
    <row r="226" ht="15.75" customHeight="1">
      <c r="A226" s="43"/>
      <c r="B226" s="46"/>
      <c r="C226" s="47"/>
      <c r="D226" s="47"/>
      <c r="E226" s="48"/>
      <c r="F226" s="42"/>
      <c r="G226" s="42"/>
    </row>
    <row r="227" ht="15.75" customHeight="1">
      <c r="A227" s="43"/>
      <c r="B227" s="46"/>
      <c r="C227" s="47"/>
      <c r="D227" s="47"/>
      <c r="E227" s="48"/>
      <c r="F227" s="42"/>
      <c r="G227" s="42"/>
    </row>
    <row r="228" ht="15.75" customHeight="1">
      <c r="A228" s="43"/>
      <c r="B228" s="46"/>
      <c r="C228" s="47"/>
      <c r="D228" s="47"/>
      <c r="E228" s="48"/>
      <c r="F228" s="42"/>
      <c r="G228" s="42"/>
    </row>
    <row r="229" ht="15.75" customHeight="1">
      <c r="A229" s="43"/>
      <c r="B229" s="46"/>
      <c r="C229" s="47"/>
      <c r="D229" s="47"/>
      <c r="E229" s="48"/>
      <c r="F229" s="42"/>
      <c r="G229" s="42"/>
    </row>
    <row r="230" ht="15.75" customHeight="1">
      <c r="A230" s="43"/>
      <c r="B230" s="46"/>
      <c r="C230" s="47"/>
      <c r="D230" s="47"/>
      <c r="E230" s="48"/>
      <c r="F230" s="42"/>
      <c r="G230" s="42"/>
    </row>
    <row r="231" ht="15.75" customHeight="1">
      <c r="A231" s="43"/>
      <c r="B231" s="46"/>
      <c r="C231" s="47"/>
      <c r="D231" s="47"/>
      <c r="E231" s="48"/>
      <c r="F231" s="42"/>
      <c r="G231" s="42"/>
    </row>
    <row r="232" ht="15.75" customHeight="1">
      <c r="A232" s="43"/>
      <c r="B232" s="46"/>
      <c r="C232" s="47"/>
      <c r="D232" s="47"/>
      <c r="E232" s="48"/>
      <c r="F232" s="42"/>
      <c r="G232" s="42"/>
    </row>
    <row r="233" ht="15.75" customHeight="1">
      <c r="A233" s="43"/>
      <c r="B233" s="46"/>
      <c r="C233" s="47"/>
      <c r="D233" s="47"/>
      <c r="E233" s="48"/>
      <c r="F233" s="42"/>
      <c r="G233" s="42"/>
    </row>
    <row r="234" ht="15.75" customHeight="1">
      <c r="A234" s="43"/>
      <c r="B234" s="46"/>
      <c r="C234" s="47"/>
      <c r="D234" s="47"/>
      <c r="E234" s="48"/>
      <c r="F234" s="42"/>
      <c r="G234" s="42"/>
    </row>
    <row r="235" ht="15.75" customHeight="1">
      <c r="A235" s="43"/>
      <c r="B235" s="46"/>
      <c r="C235" s="47"/>
      <c r="D235" s="47"/>
      <c r="E235" s="48"/>
      <c r="F235" s="42"/>
      <c r="G235" s="42"/>
    </row>
    <row r="236" ht="15.75" customHeight="1">
      <c r="A236" s="43"/>
      <c r="B236" s="46"/>
      <c r="C236" s="47"/>
      <c r="D236" s="47"/>
      <c r="E236" s="48"/>
      <c r="F236" s="42"/>
      <c r="G236" s="42"/>
    </row>
    <row r="237" ht="15.75" customHeight="1">
      <c r="A237" s="43"/>
      <c r="B237" s="46"/>
      <c r="C237" s="47"/>
      <c r="D237" s="47"/>
      <c r="E237" s="48"/>
      <c r="F237" s="42"/>
      <c r="G237" s="42"/>
    </row>
    <row r="238" ht="15.75" customHeight="1">
      <c r="A238" s="43"/>
      <c r="B238" s="46"/>
      <c r="C238" s="47"/>
      <c r="D238" s="47"/>
      <c r="E238" s="48"/>
      <c r="F238" s="42"/>
      <c r="G238" s="42"/>
    </row>
    <row r="239" ht="15.75" customHeight="1">
      <c r="A239" s="43"/>
      <c r="B239" s="46"/>
      <c r="C239" s="47"/>
      <c r="D239" s="47"/>
      <c r="E239" s="48"/>
      <c r="F239" s="42"/>
      <c r="G239" s="42"/>
    </row>
    <row r="240" ht="15.75" customHeight="1">
      <c r="A240" s="43"/>
      <c r="B240" s="46"/>
      <c r="C240" s="47"/>
      <c r="D240" s="47"/>
      <c r="E240" s="48"/>
      <c r="F240" s="42"/>
      <c r="G240" s="42"/>
    </row>
    <row r="241" ht="15.75" customHeight="1">
      <c r="A241" s="43"/>
      <c r="B241" s="46"/>
      <c r="C241" s="47"/>
      <c r="D241" s="47"/>
      <c r="E241" s="48"/>
      <c r="F241" s="42"/>
      <c r="G241" s="42"/>
    </row>
    <row r="242" ht="15.75" customHeight="1">
      <c r="A242" s="43"/>
      <c r="B242" s="46"/>
      <c r="C242" s="47"/>
      <c r="D242" s="47"/>
      <c r="E242" s="48"/>
      <c r="F242" s="42"/>
      <c r="G242" s="42"/>
    </row>
    <row r="243" ht="15.75" customHeight="1">
      <c r="A243" s="43"/>
      <c r="B243" s="46"/>
      <c r="C243" s="47"/>
      <c r="D243" s="47"/>
      <c r="E243" s="48"/>
      <c r="F243" s="42"/>
      <c r="G243" s="42"/>
    </row>
    <row r="244" ht="15.75" customHeight="1">
      <c r="A244" s="43"/>
      <c r="B244" s="46"/>
      <c r="C244" s="47"/>
      <c r="D244" s="47"/>
      <c r="E244" s="48"/>
      <c r="F244" s="42"/>
      <c r="G244" s="42"/>
    </row>
    <row r="245" ht="15.75" customHeight="1">
      <c r="A245" s="43"/>
      <c r="B245" s="46"/>
      <c r="C245" s="47"/>
      <c r="D245" s="47"/>
      <c r="E245" s="48"/>
      <c r="F245" s="42"/>
      <c r="G245" s="42"/>
    </row>
    <row r="246" ht="15.75" customHeight="1">
      <c r="A246" s="43"/>
      <c r="B246" s="46"/>
      <c r="C246" s="47"/>
      <c r="D246" s="47"/>
      <c r="E246" s="48"/>
      <c r="F246" s="42"/>
      <c r="G246" s="42"/>
    </row>
    <row r="247" ht="15.75" customHeight="1">
      <c r="A247" s="43"/>
      <c r="B247" s="46"/>
      <c r="C247" s="47"/>
      <c r="D247" s="47"/>
      <c r="E247" s="48"/>
      <c r="F247" s="42"/>
      <c r="G247" s="42"/>
    </row>
    <row r="248" ht="15.75" customHeight="1">
      <c r="A248" s="43"/>
      <c r="B248" s="46"/>
      <c r="C248" s="47"/>
      <c r="D248" s="47"/>
      <c r="E248" s="48"/>
      <c r="F248" s="42"/>
      <c r="G248" s="42"/>
    </row>
    <row r="249" ht="15.75" customHeight="1">
      <c r="A249" s="43"/>
      <c r="B249" s="46"/>
      <c r="C249" s="47"/>
      <c r="D249" s="47"/>
      <c r="E249" s="48"/>
      <c r="F249" s="42"/>
      <c r="G249" s="42"/>
    </row>
    <row r="250" ht="15.75" customHeight="1">
      <c r="A250" s="43"/>
      <c r="B250" s="46"/>
      <c r="C250" s="47"/>
      <c r="D250" s="47"/>
      <c r="E250" s="48"/>
      <c r="F250" s="42"/>
      <c r="G250" s="42"/>
    </row>
    <row r="251" ht="15.75" customHeight="1">
      <c r="A251" s="43"/>
      <c r="B251" s="46"/>
      <c r="C251" s="47"/>
      <c r="D251" s="47"/>
      <c r="E251" s="48"/>
      <c r="F251" s="42"/>
      <c r="G251" s="42"/>
    </row>
    <row r="252" ht="15.75" customHeight="1">
      <c r="A252" s="43"/>
      <c r="B252" s="46"/>
      <c r="C252" s="47"/>
      <c r="D252" s="47"/>
      <c r="E252" s="48"/>
      <c r="F252" s="42"/>
      <c r="G252" s="42"/>
    </row>
    <row r="253" ht="15.75" customHeight="1">
      <c r="A253" s="43"/>
      <c r="B253" s="46"/>
      <c r="C253" s="47"/>
      <c r="D253" s="47"/>
      <c r="E253" s="48"/>
      <c r="F253" s="42"/>
      <c r="G253" s="42"/>
    </row>
    <row r="254" ht="15.75" customHeight="1">
      <c r="A254" s="43"/>
      <c r="B254" s="46"/>
      <c r="C254" s="47"/>
      <c r="D254" s="47"/>
      <c r="E254" s="48"/>
      <c r="F254" s="42"/>
      <c r="G254" s="42"/>
    </row>
    <row r="255" ht="15.75" customHeight="1">
      <c r="A255" s="43"/>
      <c r="B255" s="46"/>
      <c r="C255" s="47"/>
      <c r="D255" s="47"/>
      <c r="E255" s="48"/>
      <c r="F255" s="42"/>
      <c r="G255" s="42"/>
    </row>
    <row r="256" ht="15.75" customHeight="1">
      <c r="A256" s="43"/>
      <c r="B256" s="46"/>
      <c r="C256" s="47"/>
      <c r="D256" s="47"/>
      <c r="E256" s="48"/>
      <c r="F256" s="42"/>
      <c r="G256" s="42"/>
    </row>
    <row r="257" ht="15.75" customHeight="1">
      <c r="A257" s="43"/>
      <c r="B257" s="46"/>
      <c r="C257" s="47"/>
      <c r="D257" s="47"/>
      <c r="E257" s="48"/>
      <c r="F257" s="42"/>
      <c r="G257" s="42"/>
    </row>
    <row r="258" ht="15.75" customHeight="1">
      <c r="A258" s="43"/>
      <c r="B258" s="46"/>
      <c r="C258" s="47"/>
      <c r="D258" s="47"/>
      <c r="E258" s="48"/>
      <c r="F258" s="42"/>
      <c r="G258" s="42"/>
    </row>
    <row r="259" ht="15.75" customHeight="1">
      <c r="A259" s="43"/>
      <c r="B259" s="46"/>
      <c r="C259" s="47"/>
      <c r="D259" s="47"/>
      <c r="E259" s="48"/>
      <c r="F259" s="42"/>
      <c r="G259" s="42"/>
    </row>
    <row r="260" ht="15.75" customHeight="1">
      <c r="A260" s="43"/>
      <c r="B260" s="46"/>
      <c r="C260" s="47"/>
      <c r="D260" s="47"/>
      <c r="E260" s="48"/>
      <c r="F260" s="42"/>
      <c r="G260" s="42"/>
    </row>
    <row r="261" ht="15.75" customHeight="1">
      <c r="A261" s="43"/>
      <c r="B261" s="46"/>
      <c r="C261" s="47"/>
      <c r="D261" s="47"/>
      <c r="E261" s="48"/>
      <c r="F261" s="42"/>
      <c r="G261" s="42"/>
    </row>
    <row r="262" ht="15.75" customHeight="1">
      <c r="A262" s="43"/>
      <c r="B262" s="46"/>
      <c r="C262" s="47"/>
      <c r="D262" s="47"/>
      <c r="E262" s="48"/>
      <c r="F262" s="42"/>
      <c r="G262" s="42"/>
    </row>
    <row r="263" ht="15.75" customHeight="1">
      <c r="A263" s="43"/>
      <c r="B263" s="46"/>
      <c r="C263" s="47"/>
      <c r="D263" s="47"/>
      <c r="E263" s="48"/>
      <c r="F263" s="42"/>
      <c r="G263" s="42"/>
    </row>
    <row r="264" ht="15.75" customHeight="1">
      <c r="A264" s="43"/>
      <c r="B264" s="46"/>
      <c r="C264" s="47"/>
      <c r="D264" s="47"/>
      <c r="E264" s="48"/>
      <c r="F264" s="42"/>
      <c r="G264" s="42"/>
    </row>
    <row r="265" ht="15.75" customHeight="1">
      <c r="A265" s="43"/>
      <c r="B265" s="46"/>
      <c r="C265" s="47"/>
      <c r="D265" s="47"/>
      <c r="E265" s="48"/>
      <c r="F265" s="42"/>
      <c r="G265" s="42"/>
    </row>
    <row r="266" ht="15.75" customHeight="1">
      <c r="A266" s="43"/>
      <c r="B266" s="46"/>
      <c r="C266" s="47"/>
      <c r="D266" s="47"/>
      <c r="E266" s="48"/>
      <c r="F266" s="42"/>
      <c r="G266" s="42"/>
    </row>
    <row r="267" ht="15.75" customHeight="1">
      <c r="A267" s="43"/>
      <c r="B267" s="46"/>
      <c r="C267" s="47"/>
      <c r="D267" s="47"/>
      <c r="E267" s="48"/>
      <c r="F267" s="42"/>
      <c r="G267" s="42"/>
    </row>
    <row r="268" ht="15.75" customHeight="1">
      <c r="A268" s="43"/>
      <c r="B268" s="46"/>
      <c r="C268" s="47"/>
      <c r="D268" s="47"/>
      <c r="E268" s="48"/>
      <c r="F268" s="42"/>
      <c r="G268" s="42"/>
    </row>
    <row r="269" ht="15.75" customHeight="1">
      <c r="A269" s="43"/>
      <c r="B269" s="46"/>
      <c r="C269" s="47"/>
      <c r="D269" s="47"/>
      <c r="E269" s="48"/>
      <c r="F269" s="42"/>
      <c r="G269" s="42"/>
    </row>
    <row r="270" ht="15.75" customHeight="1">
      <c r="A270" s="43"/>
      <c r="B270" s="46"/>
      <c r="C270" s="47"/>
      <c r="D270" s="47"/>
      <c r="E270" s="48"/>
      <c r="F270" s="42"/>
      <c r="G270" s="42"/>
    </row>
    <row r="271" ht="15.75" customHeight="1">
      <c r="A271" s="43"/>
      <c r="B271" s="46"/>
      <c r="C271" s="47"/>
      <c r="D271" s="47"/>
      <c r="E271" s="48"/>
      <c r="F271" s="42"/>
      <c r="G271" s="42"/>
    </row>
    <row r="272" ht="15.75" customHeight="1">
      <c r="A272" s="43"/>
      <c r="B272" s="46"/>
      <c r="C272" s="47"/>
      <c r="D272" s="47"/>
      <c r="E272" s="48"/>
      <c r="F272" s="42"/>
      <c r="G272" s="42"/>
    </row>
    <row r="273" ht="15.75" customHeight="1">
      <c r="A273" s="43"/>
      <c r="B273" s="46"/>
      <c r="C273" s="47"/>
      <c r="D273" s="47"/>
      <c r="E273" s="48"/>
      <c r="F273" s="42"/>
      <c r="G273" s="42"/>
    </row>
    <row r="274" ht="15.75" customHeight="1">
      <c r="A274" s="43"/>
      <c r="B274" s="46"/>
      <c r="C274" s="47"/>
      <c r="D274" s="47"/>
      <c r="E274" s="48"/>
      <c r="F274" s="42"/>
      <c r="G274" s="42"/>
    </row>
    <row r="275" ht="15.75" customHeight="1">
      <c r="A275" s="43"/>
      <c r="B275" s="46"/>
      <c r="C275" s="47"/>
      <c r="D275" s="47"/>
      <c r="E275" s="48"/>
      <c r="F275" s="42"/>
      <c r="G275" s="42"/>
    </row>
    <row r="276" ht="15.75" customHeight="1">
      <c r="A276" s="43"/>
      <c r="B276" s="46"/>
      <c r="C276" s="47"/>
      <c r="D276" s="47"/>
      <c r="E276" s="48"/>
      <c r="F276" s="42"/>
      <c r="G276" s="42"/>
    </row>
    <row r="277" ht="15.75" customHeight="1">
      <c r="A277" s="43"/>
      <c r="B277" s="46"/>
      <c r="C277" s="47"/>
      <c r="D277" s="47"/>
      <c r="E277" s="48"/>
      <c r="F277" s="42"/>
      <c r="G277" s="42"/>
    </row>
    <row r="278" ht="15.75" customHeight="1">
      <c r="A278" s="43"/>
      <c r="B278" s="46"/>
      <c r="C278" s="47"/>
      <c r="D278" s="47"/>
      <c r="E278" s="48"/>
      <c r="F278" s="42"/>
      <c r="G278" s="42"/>
    </row>
    <row r="279" ht="15.75" customHeight="1">
      <c r="A279" s="43"/>
      <c r="B279" s="46"/>
      <c r="C279" s="47"/>
      <c r="D279" s="47"/>
      <c r="E279" s="48"/>
      <c r="F279" s="42"/>
      <c r="G279" s="42"/>
    </row>
    <row r="280" ht="15.75" customHeight="1">
      <c r="A280" s="43"/>
      <c r="B280" s="46"/>
      <c r="C280" s="47"/>
      <c r="D280" s="47"/>
      <c r="E280" s="48"/>
      <c r="F280" s="42"/>
      <c r="G280" s="42"/>
    </row>
    <row r="281" ht="15.75" customHeight="1">
      <c r="A281" s="43"/>
      <c r="B281" s="46"/>
      <c r="C281" s="47"/>
      <c r="D281" s="47"/>
      <c r="E281" s="48"/>
      <c r="F281" s="42"/>
      <c r="G281" s="42"/>
    </row>
    <row r="282" ht="15.75" customHeight="1">
      <c r="A282" s="43"/>
      <c r="B282" s="46"/>
      <c r="C282" s="47"/>
      <c r="D282" s="47"/>
      <c r="E282" s="48"/>
      <c r="F282" s="42"/>
      <c r="G282" s="42"/>
    </row>
    <row r="283" ht="15.75" customHeight="1">
      <c r="A283" s="43"/>
      <c r="B283" s="46"/>
      <c r="C283" s="47"/>
      <c r="D283" s="47"/>
      <c r="E283" s="48"/>
      <c r="F283" s="42"/>
      <c r="G283" s="42"/>
    </row>
    <row r="284" ht="15.75" customHeight="1">
      <c r="A284" s="43"/>
      <c r="B284" s="46"/>
      <c r="C284" s="47"/>
      <c r="D284" s="47"/>
      <c r="E284" s="48"/>
      <c r="F284" s="42"/>
      <c r="G284" s="42"/>
    </row>
    <row r="285" ht="15.75" customHeight="1">
      <c r="A285" s="43"/>
      <c r="B285" s="46"/>
      <c r="C285" s="47"/>
      <c r="D285" s="47"/>
      <c r="E285" s="48"/>
      <c r="F285" s="42"/>
      <c r="G285" s="42"/>
    </row>
    <row r="286" ht="15.75" customHeight="1">
      <c r="A286" s="43"/>
      <c r="B286" s="46"/>
      <c r="C286" s="47"/>
      <c r="D286" s="47"/>
      <c r="E286" s="48"/>
      <c r="F286" s="42"/>
      <c r="G286" s="42"/>
    </row>
    <row r="287" ht="15.75" customHeight="1">
      <c r="A287" s="43"/>
      <c r="B287" s="46"/>
      <c r="C287" s="47"/>
      <c r="D287" s="47"/>
      <c r="E287" s="48"/>
      <c r="F287" s="42"/>
      <c r="G287" s="42"/>
    </row>
    <row r="288" ht="15.75" customHeight="1">
      <c r="A288" s="43"/>
      <c r="B288" s="46"/>
      <c r="C288" s="47"/>
      <c r="D288" s="47"/>
      <c r="E288" s="48"/>
      <c r="F288" s="42"/>
      <c r="G288" s="42"/>
    </row>
    <row r="289" ht="15.75" customHeight="1">
      <c r="A289" s="43"/>
      <c r="B289" s="46"/>
      <c r="C289" s="47"/>
      <c r="D289" s="47"/>
      <c r="E289" s="48"/>
      <c r="F289" s="42"/>
      <c r="G289" s="42"/>
    </row>
    <row r="290" ht="15.75" customHeight="1">
      <c r="A290" s="43"/>
      <c r="B290" s="46"/>
      <c r="C290" s="47"/>
      <c r="D290" s="47"/>
      <c r="E290" s="48"/>
      <c r="F290" s="42"/>
      <c r="G290" s="42"/>
    </row>
    <row r="291" ht="15.75" customHeight="1">
      <c r="A291" s="43"/>
      <c r="B291" s="46"/>
      <c r="C291" s="47"/>
      <c r="D291" s="47"/>
      <c r="E291" s="48"/>
      <c r="F291" s="42"/>
      <c r="G291" s="42"/>
    </row>
    <row r="292" ht="15.75" customHeight="1">
      <c r="A292" s="43"/>
      <c r="B292" s="46"/>
      <c r="C292" s="47"/>
      <c r="D292" s="47"/>
      <c r="E292" s="48"/>
      <c r="F292" s="42"/>
      <c r="G292" s="42"/>
    </row>
    <row r="293" ht="15.75" customHeight="1">
      <c r="A293" s="43"/>
      <c r="B293" s="46"/>
      <c r="C293" s="47"/>
      <c r="D293" s="47"/>
      <c r="E293" s="48"/>
      <c r="F293" s="42"/>
      <c r="G293" s="42"/>
    </row>
    <row r="294" ht="15.75" customHeight="1">
      <c r="A294" s="43"/>
      <c r="B294" s="46"/>
      <c r="C294" s="47"/>
      <c r="D294" s="47"/>
      <c r="E294" s="48"/>
      <c r="F294" s="42"/>
      <c r="G294" s="42"/>
    </row>
    <row r="295" ht="15.75" customHeight="1">
      <c r="A295" s="43"/>
      <c r="B295" s="46"/>
      <c r="C295" s="47"/>
      <c r="D295" s="47"/>
      <c r="E295" s="48"/>
      <c r="F295" s="42"/>
      <c r="G295" s="42"/>
    </row>
    <row r="296" ht="15.75" customHeight="1">
      <c r="A296" s="43"/>
      <c r="B296" s="46"/>
      <c r="C296" s="47"/>
      <c r="D296" s="47"/>
      <c r="E296" s="48"/>
      <c r="F296" s="42"/>
      <c r="G296" s="42"/>
    </row>
    <row r="297" ht="15.75" customHeight="1">
      <c r="A297" s="43"/>
      <c r="B297" s="46"/>
      <c r="C297" s="47"/>
      <c r="D297" s="47"/>
      <c r="E297" s="48"/>
      <c r="F297" s="42"/>
      <c r="G297" s="42"/>
    </row>
    <row r="298" ht="15.75" customHeight="1">
      <c r="A298" s="43"/>
      <c r="B298" s="46"/>
      <c r="C298" s="47"/>
      <c r="D298" s="47"/>
      <c r="E298" s="48"/>
      <c r="F298" s="42"/>
      <c r="G298" s="42"/>
    </row>
    <row r="299" ht="15.75" customHeight="1">
      <c r="A299" s="43"/>
      <c r="B299" s="46"/>
      <c r="C299" s="47"/>
      <c r="D299" s="47"/>
      <c r="E299" s="48"/>
      <c r="F299" s="42"/>
      <c r="G299" s="42"/>
    </row>
    <row r="300" ht="15.75" customHeight="1">
      <c r="A300" s="43"/>
      <c r="B300" s="46"/>
      <c r="C300" s="47"/>
      <c r="D300" s="47"/>
      <c r="E300" s="48"/>
      <c r="F300" s="42"/>
      <c r="G300" s="42"/>
    </row>
    <row r="301" ht="15.75" customHeight="1">
      <c r="A301" s="43"/>
      <c r="B301" s="46"/>
      <c r="C301" s="47"/>
      <c r="D301" s="47"/>
      <c r="E301" s="48"/>
      <c r="F301" s="42"/>
      <c r="G301" s="42"/>
    </row>
    <row r="302" ht="15.75" customHeight="1">
      <c r="A302" s="43"/>
      <c r="B302" s="46"/>
      <c r="C302" s="47"/>
      <c r="D302" s="47"/>
      <c r="E302" s="48"/>
      <c r="F302" s="42"/>
      <c r="G302" s="42"/>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2">
    <mergeCell ref="A58:B58"/>
    <mergeCell ref="A64:B64"/>
    <mergeCell ref="D64:F64"/>
    <mergeCell ref="A71:G71"/>
    <mergeCell ref="A89:G89"/>
    <mergeCell ref="B1:G1"/>
    <mergeCell ref="A2:G2"/>
    <mergeCell ref="A56:G56"/>
    <mergeCell ref="D58:F58"/>
    <mergeCell ref="D59:E59"/>
    <mergeCell ref="D60:E60"/>
    <mergeCell ref="D61:E61"/>
  </mergeCells>
  <dataValidations>
    <dataValidation type="list" allowBlank="1" sqref="D4:D53">
      <formula1>"Gives Me Energy,Takes My Energy,Neutral"</formula1>
    </dataValidation>
    <dataValidation type="list" allowBlank="1" sqref="C4:C53">
      <formula1>"1-Admin,2-Technician,3-Manager,4-Exec"</formula1>
    </dataValidation>
    <dataValidation type="list" allowBlank="1" sqref="E4:E53">
      <formula1>"X,D,S,S+D,---"</formula1>
    </dataValidation>
  </dataValidations>
  <hyperlinks>
    <hyperlink r:id="rId2" ref="A2"/>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43"/>
    <col customWidth="1" min="2" max="2" width="52.43"/>
    <col customWidth="1" min="3" max="6" width="14.43"/>
  </cols>
  <sheetData>
    <row r="1" ht="33.75" customHeight="1">
      <c r="A1" s="2" t="s">
        <v>0</v>
      </c>
      <c r="B1" s="4"/>
      <c r="C1" s="4"/>
      <c r="D1" s="4"/>
      <c r="E1" s="4"/>
      <c r="F1" s="5"/>
    </row>
    <row r="2" ht="15.75" customHeight="1">
      <c r="A2" s="6" t="s">
        <v>3</v>
      </c>
      <c r="B2" s="7"/>
      <c r="C2" s="7"/>
      <c r="D2" s="7"/>
      <c r="E2" s="7"/>
      <c r="F2" s="8"/>
    </row>
    <row r="3" ht="15.75" customHeight="1">
      <c r="A3" s="9"/>
      <c r="B3" s="10"/>
      <c r="C3" s="10"/>
      <c r="D3" s="10"/>
      <c r="E3" s="10"/>
      <c r="F3" s="11"/>
    </row>
    <row r="4" ht="15.75" customHeight="1">
      <c r="A4" s="12" t="s">
        <v>5</v>
      </c>
      <c r="B4" s="13"/>
      <c r="C4" s="13"/>
      <c r="D4" s="13"/>
      <c r="E4" s="13"/>
      <c r="F4" s="14"/>
    </row>
    <row r="5" ht="15.75" customHeight="1">
      <c r="A5" s="12" t="s">
        <v>6</v>
      </c>
      <c r="B5" s="13"/>
      <c r="C5" s="13"/>
      <c r="D5" s="14"/>
      <c r="E5" s="12" t="s">
        <v>7</v>
      </c>
      <c r="F5" s="14"/>
    </row>
    <row r="6" ht="15.75" customHeight="1">
      <c r="A6" s="16" t="s">
        <v>8</v>
      </c>
      <c r="B6" s="18" t="s">
        <v>1</v>
      </c>
      <c r="C6" s="4"/>
      <c r="D6" s="5"/>
      <c r="E6" s="21">
        <v>0.3</v>
      </c>
      <c r="F6" s="5"/>
    </row>
    <row r="7" ht="15.75" customHeight="1">
      <c r="A7" s="16" t="s">
        <v>13</v>
      </c>
      <c r="B7" s="18" t="s">
        <v>1</v>
      </c>
      <c r="C7" s="4"/>
      <c r="D7" s="5"/>
      <c r="E7" s="21">
        <v>0.2</v>
      </c>
      <c r="F7" s="5"/>
    </row>
    <row r="8" ht="15.75" customHeight="1">
      <c r="A8" s="16" t="s">
        <v>17</v>
      </c>
      <c r="B8" s="18" t="s">
        <v>1</v>
      </c>
      <c r="C8" s="4"/>
      <c r="D8" s="5"/>
      <c r="E8" s="21">
        <v>0.3</v>
      </c>
      <c r="F8" s="5"/>
    </row>
    <row r="9" ht="15.75" customHeight="1">
      <c r="A9" s="16" t="s">
        <v>18</v>
      </c>
      <c r="B9" s="18" t="s">
        <v>1</v>
      </c>
      <c r="C9" s="4"/>
      <c r="D9" s="5"/>
      <c r="E9" s="21">
        <v>0.1</v>
      </c>
      <c r="F9" s="5"/>
    </row>
    <row r="10" ht="15.75" customHeight="1">
      <c r="A10" s="16" t="s">
        <v>19</v>
      </c>
      <c r="B10" s="18" t="s">
        <v>1</v>
      </c>
      <c r="C10" s="4"/>
      <c r="D10" s="5"/>
      <c r="E10" s="21">
        <v>0.1</v>
      </c>
      <c r="F10" s="5"/>
    </row>
    <row r="11" ht="15.75" customHeight="1">
      <c r="A11" s="26"/>
      <c r="B11" s="27" t="s">
        <v>20</v>
      </c>
      <c r="C11" s="4"/>
      <c r="D11" s="5"/>
      <c r="E11" s="36">
        <f>SUM(E6:F10)</f>
        <v>1</v>
      </c>
      <c r="F11" s="14"/>
    </row>
    <row r="12" ht="15.75" customHeight="1">
      <c r="A12" s="12" t="s">
        <v>21</v>
      </c>
      <c r="B12" s="13"/>
      <c r="C12" s="13"/>
      <c r="D12" s="13"/>
      <c r="E12" s="13"/>
      <c r="F12" s="14"/>
    </row>
    <row r="13" ht="15.75" customHeight="1">
      <c r="A13" s="12" t="s">
        <v>22</v>
      </c>
      <c r="B13" s="13"/>
      <c r="C13" s="13"/>
      <c r="D13" s="14"/>
      <c r="E13" s="12" t="s">
        <v>23</v>
      </c>
      <c r="F13" s="14"/>
    </row>
    <row r="14" ht="15.75" customHeight="1">
      <c r="A14" s="39" t="s">
        <v>8</v>
      </c>
      <c r="B14" s="40" t="s">
        <v>1</v>
      </c>
      <c r="E14" s="42" t="s">
        <v>24</v>
      </c>
    </row>
    <row r="15" ht="15.75" customHeight="1">
      <c r="A15" s="39" t="s">
        <v>13</v>
      </c>
      <c r="B15" s="40" t="s">
        <v>1</v>
      </c>
      <c r="E15" s="42" t="s">
        <v>25</v>
      </c>
    </row>
    <row r="16" ht="15.75" customHeight="1">
      <c r="A16" s="39" t="s">
        <v>17</v>
      </c>
      <c r="B16" s="40" t="s">
        <v>1</v>
      </c>
      <c r="E16" s="42" t="s">
        <v>25</v>
      </c>
    </row>
    <row r="17" ht="15.75" customHeight="1">
      <c r="A17" s="12" t="s">
        <v>26</v>
      </c>
      <c r="B17" s="13"/>
      <c r="C17" s="13"/>
      <c r="D17" s="13"/>
      <c r="E17" s="13"/>
      <c r="F17" s="14"/>
    </row>
    <row r="18" ht="15.75" customHeight="1">
      <c r="A18" s="12" t="s">
        <v>27</v>
      </c>
      <c r="B18" s="14"/>
      <c r="C18" s="12" t="s">
        <v>28</v>
      </c>
      <c r="D18" s="13"/>
      <c r="E18" s="13"/>
      <c r="F18" s="14"/>
    </row>
    <row r="19" ht="15.75" customHeight="1">
      <c r="A19" s="39" t="s">
        <v>8</v>
      </c>
      <c r="B19" s="40" t="s">
        <v>1</v>
      </c>
      <c r="C19" s="40" t="s">
        <v>1</v>
      </c>
    </row>
    <row r="20" ht="15.75" customHeight="1">
      <c r="A20" s="39" t="s">
        <v>13</v>
      </c>
      <c r="B20" s="40" t="s">
        <v>1</v>
      </c>
      <c r="C20" s="40" t="s">
        <v>1</v>
      </c>
    </row>
    <row r="21" ht="15.75" customHeight="1">
      <c r="A21" s="39" t="s">
        <v>17</v>
      </c>
      <c r="B21" s="40" t="s">
        <v>1</v>
      </c>
      <c r="C21" s="40" t="s">
        <v>1</v>
      </c>
    </row>
    <row r="22" ht="15.75" customHeight="1">
      <c r="A22" s="43"/>
    </row>
    <row r="23" ht="15.75" customHeight="1"/>
    <row r="24" ht="15.75" customHeight="1">
      <c r="A24" s="43"/>
    </row>
    <row r="25" ht="15.75" customHeight="1">
      <c r="A25" s="43"/>
    </row>
    <row r="26" ht="15.75" customHeight="1">
      <c r="A26" s="43"/>
    </row>
    <row r="27" ht="15.75" customHeight="1">
      <c r="A27" s="4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1:F1"/>
    <mergeCell ref="A2:F3"/>
    <mergeCell ref="A4:F4"/>
    <mergeCell ref="A5:D5"/>
    <mergeCell ref="E5:F5"/>
    <mergeCell ref="B6:D6"/>
    <mergeCell ref="E6:F6"/>
    <mergeCell ref="B7:D7"/>
    <mergeCell ref="E7:F7"/>
    <mergeCell ref="B8:D8"/>
    <mergeCell ref="E8:F8"/>
    <mergeCell ref="B9:D9"/>
    <mergeCell ref="E9:F9"/>
    <mergeCell ref="E10:F10"/>
    <mergeCell ref="B10:D10"/>
    <mergeCell ref="B11:D11"/>
    <mergeCell ref="E11:F11"/>
    <mergeCell ref="A12:F12"/>
    <mergeCell ref="A13:D13"/>
    <mergeCell ref="E13:F13"/>
    <mergeCell ref="E14:F14"/>
    <mergeCell ref="C18:F18"/>
    <mergeCell ref="C19:F19"/>
    <mergeCell ref="C20:F20"/>
    <mergeCell ref="C21:F21"/>
    <mergeCell ref="B14:D14"/>
    <mergeCell ref="B15:D15"/>
    <mergeCell ref="E15:F15"/>
    <mergeCell ref="B16:D16"/>
    <mergeCell ref="E16:F16"/>
    <mergeCell ref="A17:F17"/>
    <mergeCell ref="A18:B18"/>
  </mergeCells>
  <dataValidations>
    <dataValidation type="list" allowBlank="1" sqref="E14:E16">
      <formula1>"Create,Update"</formula1>
    </dataValidation>
  </dataValidations>
  <printOptions/>
  <pageMargins bottom="0.75" footer="0.0" header="0.0" left="0.7" right="0.7" top="0.75"/>
  <pageSetup orientation="landscape"/>
  <drawing r:id="rId1"/>
</worksheet>
</file>